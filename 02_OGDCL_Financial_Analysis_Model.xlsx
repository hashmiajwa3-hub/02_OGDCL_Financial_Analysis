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5"/>
  </bookViews>
  <sheets>
    <sheet name="Cover" sheetId="1" state="visible" r:id="rId3"/>
    <sheet name="Income Statement" sheetId="2" state="visible" r:id="rId4"/>
    <sheet name="Balance Sheet" sheetId="3" state="visible" r:id="rId5"/>
    <sheet name="Cash Flow" sheetId="4" state="visible" r:id="rId6"/>
    <sheet name="Ratio Analysis" sheetId="5" state="visible" r:id="rId7"/>
    <sheet name="DCF Valuation" sheetId="6" state="visible" r:id="rId8"/>
    <sheet name="Data Sources"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<sst xmlns="http://schemas.openxmlformats.org/spreadsheetml/2006/main" count="243" uniqueCount="187">
  <si>
    <t xml:space="preserve">OGDCL — FINANCIAL STATEMENT ANALYSIS  |  10-Year Deep Dive  |  FY2015 to FY2024</t>
  </si>
  <si>
    <t xml:space="preserve">Oil and Gas Development Company Limited  |  PKR Millions  |  Source: Official PSX and OGDCL Portals</t>
  </si>
  <si>
    <t xml:space="preserve">Sheet</t>
  </si>
  <si>
    <t xml:space="preserve">Contents</t>
  </si>
  <si>
    <t xml:space="preserve">Income Statement</t>
  </si>
  <si>
    <t xml:space="preserve">10-year Profit and Loss — Revenue, EBITDA, Net Profit, EPS and Dividend</t>
  </si>
  <si>
    <t xml:space="preserve">Balance Sheet</t>
  </si>
  <si>
    <t xml:space="preserve">10-year Financial Position — Assets, Equity and Liabilities</t>
  </si>
  <si>
    <t xml:space="preserve">Cash Flow</t>
  </si>
  <si>
    <t xml:space="preserve">10-year Cash Flows — Operating, Investing, Financing and Free Cash Flow</t>
  </si>
  <si>
    <t xml:space="preserve">Ratio Analysis</t>
  </si>
  <si>
    <t xml:space="preserve">20 ratios across 5 categories with color-coded health indicators</t>
  </si>
  <si>
    <t xml:space="preserve">DCF Valuation</t>
  </si>
  <si>
    <t xml:space="preserve">Discounted Cash Flow model with sensitivity table and 3 scenarios</t>
  </si>
  <si>
    <t xml:space="preserve">Data Sources</t>
  </si>
  <si>
    <t xml:space="preserve">Official sources, notes and academic disclaimer</t>
  </si>
  <si>
    <t xml:space="preserve">Company Details</t>
  </si>
  <si>
    <t xml:space="preserve">Company</t>
  </si>
  <si>
    <t xml:space="preserve">Oil and Gas Development Company Limited</t>
  </si>
  <si>
    <t xml:space="preserve">Ticker</t>
  </si>
  <si>
    <t xml:space="preserve">OGDC — Pakistan Stock Exchange</t>
  </si>
  <si>
    <t xml:space="preserve">Sector</t>
  </si>
  <si>
    <t xml:space="preserve">Oil and Gas Exploration Companies</t>
  </si>
  <si>
    <t xml:space="preserve">Founded</t>
  </si>
  <si>
    <t xml:space="preserve">1961, Islamabad, Pakistan</t>
  </si>
  <si>
    <t xml:space="preserve">Government Stake</t>
  </si>
  <si>
    <t xml:space="preserve">Approximately 69% via Privatization Commission</t>
  </si>
  <si>
    <t xml:space="preserve">Shares Outstanding</t>
  </si>
  <si>
    <t xml:space="preserve">FY2024 Revenue</t>
  </si>
  <si>
    <t xml:space="preserve">FY2024 Net Profit</t>
  </si>
  <si>
    <t xml:space="preserve">FY2024 EPS</t>
  </si>
  <si>
    <t xml:space="preserve">FY2024 DPS</t>
  </si>
  <si>
    <t xml:space="preserve">Auditor</t>
  </si>
  <si>
    <t xml:space="preserve">KPMG Taseer Hadi and Co.</t>
  </si>
  <si>
    <t xml:space="preserve">OGDCL — INCOME STATEMENT  |  FY2015 to FY2024  |  PKR Millions</t>
  </si>
  <si>
    <t xml:space="preserve">Source: OGDCL Annual Reports (ogdcl.com/all-financial-reports) and PSX Financial Portal (financials.psx.com.pk)</t>
  </si>
  <si>
    <t xml:space="preserve">Line Item</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</si>
  <si>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</si>
  <si>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</si>
  <si>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</si>
  <si>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</si>
  <si>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</si>
  <si>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</si>
  <si>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</si>
  <si>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</si>
  <si>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</si>
  <si>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</si>
  <si>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10Y CAGR</t>
  </si>
  <si>
    <t xml:space="preserve">  REVENUE AND INCOME</t>
  </si>
  <si>
    <t xml:space="preserve">Gross Revenue</t>
  </si>
  <si>
    <t xml:space="preserve">Less Royalties</t>
  </si>
  <si>
    <t xml:space="preserve">Net Revenue</t>
  </si>
  <si>
    <t xml:space="preserve">  COSTS AND EXPENSES</t>
  </si>
  <si>
    <t xml:space="preserve">Operating and Production Expenses</t>
  </si>
  <si>
    <t xml:space="preserve">Gross Profit</t>
  </si>
  <si>
    <t xml:space="preserve">Exploration and Prospecting Expenditure</t>
  </si>
  <si>
    <t xml:space="preserve">Depreciation Depletion and Amortisation</t>
  </si>
  <si>
    <t xml:space="preserve">EBITDA</t>
  </si>
  <si>
    <t xml:space="preserve">Operating Profit</t>
  </si>
  <si>
    <t xml:space="preserve">  BELOW OPERATING LINE</t>
  </si>
  <si>
    <t xml:space="preserve">Finance Cost</t>
  </si>
  <si>
    <t xml:space="preserve">Other Income</t>
  </si>
  <si>
    <t xml:space="preserve">Profit Before Taxation</t>
  </si>
  <si>
    <t xml:space="preserve">Income Tax Expense</t>
  </si>
  <si>
    <t xml:space="preserve">Net Profit After Tax</t>
  </si>
  <si>
    <t xml:space="preserve">  PER SHARE DATA</t>
  </si>
  <si>
    <t xml:space="preserve">Earnings Per Share (PKR)</t>
  </si>
  <si>
    <t xml:space="preserve">Dividend Per Share (PKR)</t>
  </si>
  <si>
    <t xml:space="preserve">  MARGIN ANALYSIS</t>
  </si>
  <si>
    <t xml:space="preserve">Gross Profit Margin</t>
  </si>
  <si>
    <t xml:space="preserve">EBITDA Margin</t>
  </si>
  <si>
    <t xml:space="preserve">Net Profit Margin</t>
  </si>
  <si>
    <t xml:space="preserve">OGDCL — BALANCE SHEET  |  FY2015 to FY2024  |  PKR Millions</t>
  </si>
  <si>
    <t xml:space="preserve">Source: OGDCL Annual Reports and PSX Financials  |  Fiscal Year runs July to June</t>
  </si>
  <si>
    <t xml:space="preserve">  ASSETS</t>
  </si>
  <si>
    <t xml:space="preserve">Total Assets</t>
  </si>
  <si>
    <t xml:space="preserve">Non-Current Assets</t>
  </si>
  <si>
    <t xml:space="preserve">Current Assets</t>
  </si>
  <si>
    <t xml:space="preserve">Cash and Cash Equivalents</t>
  </si>
  <si>
    <t xml:space="preserve">Trade Receivables and Other Receivables</t>
  </si>
  <si>
    <t xml:space="preserve">  EQUITY</t>
  </si>
  <si>
    <t xml:space="preserve">Total Shareholders Equity</t>
  </si>
  <si>
    <t xml:space="preserve">Share Capital</t>
  </si>
  <si>
    <t xml:space="preserve">Reserves and Surplus</t>
  </si>
  <si>
    <t xml:space="preserve">  LIABILITIES</t>
  </si>
  <si>
    <t xml:space="preserve">Total Liabilities</t>
  </si>
  <si>
    <t xml:space="preserve">Non-Current Liabilities</t>
  </si>
  <si>
    <t xml:space="preserve">Current Liabilities</t>
  </si>
  <si>
    <t xml:space="preserve">Long-Term Borrowings</t>
  </si>
  <si>
    <t xml:space="preserve">  BALANCE CHECK  (Total Assets must equal Total Equity plus Total Liabilities)</t>
  </si>
  <si>
    <t xml:space="preserve">Balance Verification</t>
  </si>
  <si>
    <t xml:space="preserve">OGDCL — CASH FLOW STATEMENT  |  FY2015 to FY2024  |  PKR Millions</t>
  </si>
  <si>
    <t xml:space="preserve">Source: OGDCL Annual Reports  |  Brackets indicate cash outflows</t>
  </si>
  <si>
    <t xml:space="preserve">  OPERATING ACTIVITIES</t>
  </si>
  <si>
    <t xml:space="preserve">Net Cash from Operating Activities</t>
  </si>
  <si>
    <t xml:space="preserve">  INVESTING ACTIVITIES</t>
  </si>
  <si>
    <t xml:space="preserve">Net Cash used in Investing Activities</t>
  </si>
  <si>
    <t xml:space="preserve">Capital Expenditure and Exploration Spend</t>
  </si>
  <si>
    <t xml:space="preserve">  FINANCING ACTIVITIES</t>
  </si>
  <si>
    <t xml:space="preserve">Net Cash used in Financing Activities</t>
  </si>
  <si>
    <t xml:space="preserve">Dividends Paid to Shareholders</t>
  </si>
  <si>
    <t xml:space="preserve">  FREE CASH FLOW</t>
  </si>
  <si>
    <t xml:space="preserve">Free Cash Flow (Operating CF less CapEx)</t>
  </si>
  <si>
    <t xml:space="preserve">OGDCL — RATIO ANALYSIS  |  FY2015 to FY2024  |  20 Key Financial Metrics</t>
  </si>
  <si>
    <t xml:space="preserve">Color: Green = meets benchmark  |  Amber = approaching threshold  |  Red = below benchmark  |  All ratios calculated from official audited accounts</t>
  </si>
  <si>
    <t xml:space="preserve">Ratio Name</t>
  </si>
  <si>
    <t xml:space="preserve">Category</t>
  </si>
  <si>
    <t xml:space="preserve">Benchmark</t>
  </si>
  <si>
    <t xml:space="preserve">  PROFITABILITY RATIOS</t>
  </si>
  <si>
    <t xml:space="preserve">Profit</t>
  </si>
  <si>
    <t xml:space="preserve">Return on Equity</t>
  </si>
  <si>
    <t xml:space="preserve">Return on Assets</t>
  </si>
  <si>
    <t xml:space="preserve">Return on Capital Employed</t>
  </si>
  <si>
    <t xml:space="preserve">  LIQUIDITY RATIOS</t>
  </si>
  <si>
    <t xml:space="preserve">Current Ratio</t>
  </si>
  <si>
    <t xml:space="preserve">Liquidity</t>
  </si>
  <si>
    <t xml:space="preserve">Quick Ratio</t>
  </si>
  <si>
    <t xml:space="preserve">Cash Ratio</t>
  </si>
  <si>
    <t xml:space="preserve">  LEVERAGE RATIOS</t>
  </si>
  <si>
    <t xml:space="preserve">Debt to Equity Ratio</t>
  </si>
  <si>
    <t xml:space="preserve">Leverage</t>
  </si>
  <si>
    <t xml:space="preserve">Interest Coverage Ratio</t>
  </si>
  <si>
    <t xml:space="preserve">Net Debt to EBITDA</t>
  </si>
  <si>
    <t xml:space="preserve">  EFFICIENCY RATIOS</t>
  </si>
  <si>
    <t xml:space="preserve">Asset Turnover Ratio</t>
  </si>
  <si>
    <t xml:space="preserve">Efficiency</t>
  </si>
  <si>
    <t xml:space="preserve">Receivables Collection Period (Days)</t>
  </si>
  <si>
    <t xml:space="preserve">  VALUATION RATIOS</t>
  </si>
  <si>
    <t xml:space="preserve">Price to Earnings Ratio</t>
  </si>
  <si>
    <t xml:space="preserve">Valuation</t>
  </si>
  <si>
    <t xml:space="preserve">N/A</t>
  </si>
  <si>
    <t xml:space="preserve">Price to Book Ratio</t>
  </si>
  <si>
    <t xml:space="preserve">EV to EBITDA</t>
  </si>
  <si>
    <t xml:space="preserve">Dividend Yield</t>
  </si>
  <si>
    <t xml:space="preserve">Dividend Payout Ratio</t>
  </si>
  <si>
    <t xml:space="preserve">Historical Market Price (PKR) — Input</t>
  </si>
  <si>
    <t xml:space="preserve">Note: Historical market price inputs are editable; valuation ratios recalculate automatically.</t>
  </si>
  <si>
    <t xml:space="preserve">OGDCL — DCF VALUATION MODEL  |  Base Year: FY2024 Actuals  |  PKR Millions unless stated</t>
  </si>
  <si>
    <t xml:space="preserve">Blue cells are assumptions you can change  |  Model projects 5 years of Free Cash Flow and adds a Terminal Value  |  For academic use only</t>
  </si>
  <si>
    <t xml:space="preserve">  MODEL ASSUMPTIONS  (Change blue cells to run your own scenarios)</t>
  </si>
  <si>
    <t xml:space="preserve">Base Year Revenue (PKR Millions)</t>
  </si>
  <si>
    <t xml:space="preserve">FY2024 from OGDCL Annual Report</t>
  </si>
  <si>
    <t xml:space="preserve">Base Year Free Cash Flow (PKR M)</t>
  </si>
  <si>
    <t xml:space="preserve">FY2024 FCF from Cash Flow Statement</t>
  </si>
  <si>
    <t xml:space="preserve">Revenue Growth Rate (Annual)</t>
  </si>
  <si>
    <t xml:space="preserve">Base case assumes 8% CAGR</t>
  </si>
  <si>
    <t xml:space="preserve">FCF to Revenue Margin</t>
  </si>
  <si>
    <t xml:space="preserve">10-year historical average FCF margin</t>
  </si>
  <si>
    <t xml:space="preserve">WACC</t>
  </si>
  <si>
    <t xml:space="preserve">Ke=16% CAPM, Kd=12%, D/V=20%</t>
  </si>
  <si>
    <t xml:space="preserve">Terminal Growth Rate</t>
  </si>
  <si>
    <t xml:space="preserve">Equal to long-run Pakistan nominal GDP growth</t>
  </si>
  <si>
    <t xml:space="preserve">Shares Outstanding (Millions)</t>
  </si>
  <si>
    <t xml:space="preserve">As per PSX  —  4,300,825,000 shares</t>
  </si>
  <si>
    <t xml:space="preserve">  5-YEAR FREE CASH FLOW PROJECTION — BASE CASE</t>
  </si>
  <si>
    <t xml:space="preserve">FY2025E</t>
  </si>
  <si>
    <t xml:space="preserve">FY2026E</t>
  </si>
  <si>
    <t xml:space="preserve">FY2027E</t>
  </si>
  <si>
    <t xml:space="preserve">FY2028E</t>
  </si>
  <si>
    <t xml:space="preserve">FY2029E</t>
  </si>
  <si>
    <t xml:space="preserve">Projected Revenue (PKR M)</t>
  </si>
  <si>
    <t xml:space="preserve">Projected FCF (PKR M)</t>
  </si>
  <si>
    <t xml:space="preserve">Present Value of FCF (PKR M)</t>
  </si>
  <si>
    <t xml:space="preserve">  VALUATION SUMMARY</t>
  </si>
  <si>
    <t xml:space="preserve">Sum of Present Value of FCFs (PKR M)</t>
  </si>
  <si>
    <t xml:space="preserve">Terminal Value (PKR M)</t>
  </si>
  <si>
    <t xml:space="preserve">Present Value of Terminal Value (PKR M)</t>
  </si>
  <si>
    <t xml:space="preserve">Total Enterprise Value (PKR M)</t>
  </si>
  <si>
    <t xml:space="preserve">Intrinsic Value Per Share (PKR)</t>
  </si>
  <si>
    <t xml:space="preserve">Current Market Price (PKR)</t>
  </si>
  <si>
    <t xml:space="preserve">Implied Upside or Downside</t>
  </si>
  <si>
    <t xml:space="preserve">  SENSITIVITY ANALYSIS — INTRINSIC VALUE PER SHARE (PKR)</t>
  </si>
  <si>
    <t xml:space="preserve">WACC vs Growth Rate</t>
  </si>
  <si>
    <t xml:space="preserve">DATA SOURCES, METHODOLOGY AND DISCLAIMER</t>
  </si>
  <si>
    <t xml:space="preserve">Source</t>
  </si>
  <si>
    <t xml:space="preserve">Detail and URL</t>
  </si>
  <si>
    <t xml:space="preserve">OGDCL Annual Reports FY2015 to FY2024</t>
  </si>
  <si>
    <t xml:space="preserve">Full audited accounts — Income Statement, Balance Sheet, Cash Flow. Available at ogdcl.com/all-financial-reports</t>
  </si>
  <si>
    <t xml:space="preserve">Pakistan Stock Exchange Data Portal</t>
  </si>
  <si>
    <t xml:space="preserve">Live price, P/E, market cap, company profile and announcements. Available at dps.psx.com.pk/company/OGDC</t>
  </si>
  <si>
    <t xml:space="preserve">PSX Financial Statements Database</t>
  </si>
  <si>
    <t xml:space="preserve">Structured financial data for all PSX-listed companies. Available at financials.psx.com.pk</t>
  </si>
  <si>
    <t xml:space="preserve">OGDCL Quarterly Result Announcements</t>
  </si>
  <si>
    <t xml:space="preserve">Quarterly press releases and result announcements uploaded to PSX announcements portal</t>
  </si>
  <si>
    <t xml:space="preserve">Official auditor of OGDCL. All financial statements are independently audited and certified annually</t>
  </si>
  <si>
    <t xml:space="preserve">  DISCLAIMER</t>
  </si>
  <si>
    <t xml:space="preserve">All financial data in this workbook is sourced exclusively from OGDCL official annual reports and the Pakistan Stock Exchange official portal. All figures are in PKR Millions unless stated. The fiscal year runs from July to June. The DCF valuation model is for educational and academic purposes only and does not constitute investment advice or a recommendation to buy or sell securities. Past financial performance is not indicative of future results. CAGR figures are calculated over a 9-year period from FY2015 to FY2024. This workbook was prepared as an academic portfolio project to demonstrate financial analysis skills.</t>
  </si>
</sst>
</file>

<file path=xl/styles.xml><?xml version="1.0" encoding="utf-8"?>
<styleSheet xmlns="http://schemas.openxmlformats.org/spreadsheetml/2006/main">
  <numFmts count="14">
    <numFmt numFmtId="164" formatCode="General"/>
    <numFmt numFmtId="165" formatCode="#,##0;\(#,##0\);\-"/>
    <numFmt numFmtId="166" formatCode="#,##0.00;\(#,##0.00\);\-"/>
    <numFmt numFmtId="167" formatCode="0.0%;\(0.0%\);\-"/>
    <numFmt numFmtId="168" formatCode="0.0%;\(0.0%\)"/>
    <numFmt numFmtId="169" formatCode="0.00\x"/>
    <numFmt numFmtId="170" formatCode="0.0\x"/>
    <numFmt numFmtId="171" formatCode="0&quot; days&quot;"/>
    <numFmt numFmtId="172" formatCode="0.00"/>
    <numFmt numFmtId="173" formatCode="#,##0"/>
    <numFmt numFmtId="174" formatCode="0.0%"/>
    <numFmt numFmtId="175" formatCode="#,##0.0"/>
    <numFmt numFmtId="176" formatCode="#,##0.00"/>
    <numFmt numFmtId="177" formatCode="0%"/>
  </numFmts>
  <fonts count="22">
    <font>
      <sz val="11"/>
      <color theme="1"/>
      <name val="Calibri"/>
      <family val="2"/>
      <charset val="1"/>
    </font>
    <font>
      <sz val="10"/>
      <name val="Arial"/>
      <family val="0"/>
    </font>
    <font>
      <sz val="10"/>
      <name val="Arial"/>
      <family val="0"/>
    </font>
    <font>
      <sz val="10"/>
      <name val="Arial"/>
      <family val="0"/>
    </font>
    <font>
      <b val="true"/>
      <sz val="12"/>
      <color rgb="FFFFFFFF"/>
      <name val="Arial"/>
      <family val="2"/>
      <charset val="1"/>
    </font>
    <font>
      <i val="true"/>
      <sz val="11"/>
      <color rgb="FFFFFFFF"/>
      <name val="Arial"/>
      <family val="2"/>
      <charset val="1"/>
    </font>
    <font>
      <b val="true"/>
      <sz val="10"/>
      <color rgb="FFFFFFFF"/>
      <name val="Arial"/>
      <family val="2"/>
      <charset val="1"/>
    </font>
    <font>
      <b val="true"/>
      <sz val="10"/>
      <color rgb="FF1F4E79"/>
      <name val="Arial"/>
      <family val="2"/>
      <charset val="1"/>
    </font>
    <font>
      <sz val="10"/>
      <color rgb="FF595959"/>
      <name val="Arial"/>
      <family val="2"/>
      <charset val="1"/>
    </font>
    <font>
      <sz val="10"/>
      <color rgb="FF000000"/>
      <name val="Arial"/>
      <family val="2"/>
      <charset val="1"/>
    </font>
    <font>
      <i val="true"/>
      <sz val="9"/>
      <color rgb="FF595959"/>
      <name val="Arial"/>
      <family val="2"/>
      <charset val="1"/>
    </font>
    <font>
      <b val="true"/>
      <sz val="10"/>
      <color rgb="FF375623"/>
      <name val="Arial"/>
      <family val="2"/>
      <charset val="1"/>
    </font>
    <font>
      <b val="true"/>
      <sz val="10"/>
      <color rgb="FF2E75B6"/>
      <name val="Arial"/>
      <family val="2"/>
      <charset val="1"/>
    </font>
    <font>
      <b val="true"/>
      <sz val="10"/>
      <color rgb="FFC00000"/>
      <name val="Arial"/>
      <family val="2"/>
      <charset val="1"/>
    </font>
    <font>
      <sz val="10"/>
      <color rgb="FFC00000"/>
      <name val="Arial"/>
      <family val="2"/>
      <charset val="1"/>
    </font>
    <font>
      <sz val="10"/>
      <color rgb="FF1F4E79"/>
      <name val="Arial"/>
      <family val="2"/>
      <charset val="1"/>
    </font>
    <font>
      <b val="true"/>
      <sz val="9"/>
      <color rgb="FFFFFFFF"/>
      <name val="Arial"/>
      <family val="2"/>
      <charset val="1"/>
    </font>
    <font>
      <sz val="10"/>
      <color rgb="FF375623"/>
      <name val="Arial"/>
      <family val="2"/>
      <charset val="1"/>
    </font>
    <font>
      <sz val="10"/>
      <color rgb="FFBF8F00"/>
      <name val="Arial"/>
      <family val="2"/>
      <charset val="1"/>
    </font>
    <font>
      <b val="true"/>
      <sz val="10"/>
      <color rgb="FF0000FF"/>
      <name val="Arial"/>
      <family val="2"/>
      <charset val="1"/>
    </font>
    <font>
      <sz val="9"/>
      <color rgb="FF595959"/>
      <name val="Arial"/>
      <family val="2"/>
      <charset val="1"/>
    </font>
    <font>
      <b val="true"/>
      <sz val="11"/>
      <color rgb="FF375623"/>
      <name val="Arial"/>
      <family val="2"/>
      <charset val="1"/>
    </font>
  </fonts>
  <fills count="13">
    <fill>
      <patternFill patternType="none"/>
    </fill>
    <fill>
      <patternFill patternType="gray125"/>
    </fill>
    <fill>
      <patternFill patternType="solid">
        <fgColor rgb="FF1F4E79"/>
        <bgColor rgb="FF003366"/>
      </patternFill>
    </fill>
    <fill>
      <patternFill patternType="solid">
        <fgColor rgb="FF2E75B6"/>
        <bgColor rgb="FF0066CC"/>
      </patternFill>
    </fill>
    <fill>
      <patternFill patternType="solid">
        <fgColor rgb="FFFFFFFF"/>
        <bgColor rgb="FFF2F2F2"/>
      </patternFill>
    </fill>
    <fill>
      <patternFill patternType="solid">
        <fgColor rgb="FFDEEAF1"/>
        <bgColor rgb="FFE2EFDA"/>
      </patternFill>
    </fill>
    <fill>
      <patternFill patternType="solid">
        <fgColor rgb="FFF2F2F2"/>
        <bgColor rgb="FFFDECEA"/>
      </patternFill>
    </fill>
    <fill>
      <patternFill patternType="solid">
        <fgColor rgb="FFE2EFDA"/>
        <bgColor rgb="FFDEEAF1"/>
      </patternFill>
    </fill>
    <fill>
      <patternFill patternType="solid">
        <fgColor rgb="FFFDECEA"/>
        <bgColor rgb="FFF2F2F2"/>
      </patternFill>
    </fill>
    <fill>
      <patternFill patternType="solid">
        <fgColor rgb="FF70AD47"/>
        <bgColor rgb="FF339966"/>
      </patternFill>
    </fill>
    <fill>
      <patternFill patternType="solid">
        <fgColor rgb="FFFFF2CC"/>
        <bgColor rgb="FFFDECEA"/>
      </patternFill>
    </fill>
    <fill>
      <patternFill patternType="solid">
        <fgColor rgb="FFC55A11"/>
        <bgColor rgb="FF993300"/>
      </patternFill>
    </fill>
    <fill>
      <patternFill patternType="solid">
        <fgColor rgb="FF595959"/>
        <bgColor rgb="FF375623"/>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3" borderId="0" xfId="0" applyFont="true" applyBorder="true" applyAlignment="true" applyProtection="false">
      <alignment horizontal="center" vertical="center" textRotation="0" wrapText="false" indent="0" shrinkToFit="false"/>
      <protection locked="true" hidden="false"/>
    </xf>
    <xf numFmtId="164" fontId="6" fillId="2" borderId="1" xfId="0" applyFont="true" applyBorder="true" applyAlignment="true" applyProtection="false">
      <alignment horizontal="left" vertical="center" textRotation="0" wrapText="false" indent="0" shrinkToFit="false"/>
      <protection locked="true" hidden="false"/>
    </xf>
    <xf numFmtId="164" fontId="6" fillId="2" borderId="1" xfId="0" applyFont="true" applyBorder="tru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4" fontId="8" fillId="4" borderId="1" xfId="0" applyFont="true" applyBorder="true" applyAlignment="true" applyProtection="false">
      <alignment horizontal="left" vertical="center" textRotation="0" wrapText="false" indent="0" shrinkToFit="false"/>
      <protection locked="true" hidden="false"/>
    </xf>
    <xf numFmtId="164" fontId="7" fillId="5" borderId="1" xfId="0" applyFont="true" applyBorder="true" applyAlignment="true" applyProtection="false">
      <alignment horizontal="left" vertical="center" textRotation="0" wrapText="false" indent="0" shrinkToFit="false"/>
      <protection locked="true" hidden="false"/>
    </xf>
    <xf numFmtId="164" fontId="8" fillId="5" borderId="1" xfId="0" applyFont="true" applyBorder="true" applyAlignment="true" applyProtection="false">
      <alignment horizontal="left" vertical="center" textRotation="0" wrapText="false" indent="0" shrinkToFit="false"/>
      <protection locked="true" hidden="false"/>
    </xf>
    <xf numFmtId="164" fontId="9" fillId="2" borderId="1" xfId="0" applyFont="true" applyBorder="true" applyAlignment="true" applyProtection="false">
      <alignment horizontal="left" vertical="center" textRotation="0" wrapText="false" indent="0" shrinkToFit="false"/>
      <protection locked="true" hidden="false"/>
    </xf>
    <xf numFmtId="165" fontId="8" fillId="4" borderId="1" xfId="0" applyFont="true" applyBorder="true" applyAlignment="true" applyProtection="false">
      <alignment horizontal="left" vertical="center" textRotation="0" wrapText="false" indent="0" shrinkToFit="false"/>
      <protection locked="true" hidden="false"/>
    </xf>
    <xf numFmtId="165" fontId="8" fillId="5" borderId="1" xfId="0" applyFont="true" applyBorder="true" applyAlignment="true" applyProtection="false">
      <alignment horizontal="left" vertical="center" textRotation="0" wrapText="false" indent="0" shrinkToFit="false"/>
      <protection locked="true" hidden="false"/>
    </xf>
    <xf numFmtId="166" fontId="8" fillId="4" borderId="1" xfId="0" applyFont="true" applyBorder="true" applyAlignment="true" applyProtection="false">
      <alignment horizontal="left" vertical="center" textRotation="0" wrapText="false" indent="0" shrinkToFit="false"/>
      <protection locked="true" hidden="false"/>
    </xf>
    <xf numFmtId="166" fontId="8" fillId="5" borderId="1" xfId="0" applyFont="true" applyBorder="true" applyAlignment="true" applyProtection="false">
      <alignment horizontal="left" vertical="center" textRotation="0" wrapText="false" indent="0" shrinkToFit="false"/>
      <protection locked="true" hidden="false"/>
    </xf>
    <xf numFmtId="164" fontId="10" fillId="5" borderId="0" xfId="0" applyFont="true" applyBorder="true" applyAlignment="true" applyProtection="false">
      <alignment horizontal="left" vertical="center" textRotation="0" wrapText="false" indent="1" shrinkToFit="false"/>
      <protection locked="true" hidden="false"/>
    </xf>
    <xf numFmtId="164" fontId="6" fillId="3" borderId="1" xfId="0" applyFont="true" applyBorder="true" applyAlignment="true" applyProtection="false">
      <alignment horizontal="center" vertical="center" textRotation="0" wrapText="false" indent="0" shrinkToFit="false"/>
      <protection locked="true" hidden="false"/>
    </xf>
    <xf numFmtId="164" fontId="6" fillId="2" borderId="0" xfId="0" applyFont="true" applyBorder="true" applyAlignment="true" applyProtection="false">
      <alignment horizontal="left" vertical="center" textRotation="0" wrapText="false" indent="1" shrinkToFit="false"/>
      <protection locked="true" hidden="false"/>
    </xf>
    <xf numFmtId="164" fontId="8" fillId="4" borderId="1" xfId="0" applyFont="true" applyBorder="true" applyAlignment="true" applyProtection="false">
      <alignment horizontal="left" vertical="center" textRotation="0" wrapText="false" indent="2" shrinkToFit="false"/>
      <protection locked="true" hidden="false"/>
    </xf>
    <xf numFmtId="165" fontId="9" fillId="4" borderId="1" xfId="0" applyFont="true" applyBorder="true" applyAlignment="true" applyProtection="false">
      <alignment horizontal="right" vertical="center" textRotation="0" wrapText="false" indent="0" shrinkToFit="false"/>
      <protection locked="true" hidden="false"/>
    </xf>
    <xf numFmtId="165" fontId="9" fillId="6" borderId="1" xfId="0" applyFont="true" applyBorder="true" applyAlignment="true" applyProtection="false">
      <alignment horizontal="right" vertical="center" textRotation="0" wrapText="false" indent="0" shrinkToFit="false"/>
      <protection locked="true" hidden="false"/>
    </xf>
    <xf numFmtId="167" fontId="11" fillId="7" borderId="1" xfId="0" applyFont="true" applyBorder="true" applyAlignment="true" applyProtection="false">
      <alignment horizontal="right" vertical="center" textRotation="0" wrapText="false" indent="0" shrinkToFit="false"/>
      <protection locked="true" hidden="false"/>
    </xf>
    <xf numFmtId="164" fontId="12" fillId="5" borderId="1" xfId="0" applyFont="true" applyBorder="true" applyAlignment="true" applyProtection="false">
      <alignment horizontal="left" vertical="center" textRotation="0" wrapText="false" indent="0" shrinkToFit="false"/>
      <protection locked="true" hidden="false"/>
    </xf>
    <xf numFmtId="165" fontId="12" fillId="5" borderId="1" xfId="0" applyFont="true" applyBorder="true" applyAlignment="true" applyProtection="false">
      <alignment horizontal="right" vertical="center" textRotation="0" wrapText="false" indent="0" shrinkToFit="false"/>
      <protection locked="true" hidden="false"/>
    </xf>
    <xf numFmtId="164" fontId="11" fillId="5" borderId="1" xfId="0" applyFont="true" applyBorder="true" applyAlignment="true" applyProtection="false">
      <alignment horizontal="left" vertical="center" textRotation="0" wrapText="false" indent="0" shrinkToFit="false"/>
      <protection locked="true" hidden="false"/>
    </xf>
    <xf numFmtId="165" fontId="11" fillId="5" borderId="1" xfId="0" applyFont="true" applyBorder="true" applyAlignment="true" applyProtection="false">
      <alignment horizontal="right" vertical="center" textRotation="0" wrapText="false" indent="0" shrinkToFit="false"/>
      <protection locked="true" hidden="false"/>
    </xf>
    <xf numFmtId="165" fontId="7" fillId="5" borderId="1" xfId="0" applyFont="true" applyBorder="true" applyAlignment="true" applyProtection="false">
      <alignment horizontal="right" vertical="center" textRotation="0" wrapText="false" indent="0" shrinkToFit="false"/>
      <protection locked="true" hidden="false"/>
    </xf>
    <xf numFmtId="166" fontId="9" fillId="4" borderId="1" xfId="0" applyFont="true" applyBorder="true" applyAlignment="true" applyProtection="false">
      <alignment horizontal="right" vertical="center" textRotation="0" wrapText="false" indent="0" shrinkToFit="false"/>
      <protection locked="true" hidden="false"/>
    </xf>
    <xf numFmtId="166" fontId="9" fillId="6" borderId="1" xfId="0" applyFont="true" applyBorder="true" applyAlignment="true" applyProtection="false">
      <alignment horizontal="right" vertical="center" textRotation="0" wrapText="false" indent="0" shrinkToFit="false"/>
      <protection locked="true" hidden="false"/>
    </xf>
    <xf numFmtId="167" fontId="9" fillId="4" borderId="1" xfId="0" applyFont="true" applyBorder="true" applyAlignment="true" applyProtection="false">
      <alignment horizontal="right" vertical="center" textRotation="0" wrapText="false" indent="0" shrinkToFit="false"/>
      <protection locked="true" hidden="false"/>
    </xf>
    <xf numFmtId="167" fontId="9" fillId="6" borderId="1" xfId="0" applyFont="true" applyBorder="true" applyAlignment="true" applyProtection="false">
      <alignment horizontal="right" vertical="center"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7" fontId="13" fillId="8" borderId="1" xfId="0" applyFont="true" applyBorder="true" applyAlignment="true" applyProtection="false">
      <alignment horizontal="right" vertical="center" textRotation="0" wrapText="false" indent="0" shrinkToFit="false"/>
      <protection locked="true" hidden="false"/>
    </xf>
    <xf numFmtId="164" fontId="13" fillId="5" borderId="1" xfId="0" applyFont="true" applyBorder="true" applyAlignment="true" applyProtection="false">
      <alignment horizontal="left" vertical="center" textRotation="0" wrapText="false" indent="0" shrinkToFit="false"/>
      <protection locked="true" hidden="false"/>
    </xf>
    <xf numFmtId="165" fontId="13" fillId="5" borderId="1" xfId="0" applyFont="true" applyBorder="true" applyAlignment="true" applyProtection="false">
      <alignment horizontal="right" vertical="center" textRotation="0" wrapText="false" indent="0" shrinkToFit="false"/>
      <protection locked="true" hidden="false"/>
    </xf>
    <xf numFmtId="165" fontId="11" fillId="7" borderId="1" xfId="0" applyFont="true" applyBorder="true" applyAlignment="true" applyProtection="false">
      <alignment horizontal="right" vertical="center" textRotation="0" wrapText="false" indent="0" shrinkToFit="false"/>
      <protection locked="true" hidden="false"/>
    </xf>
    <xf numFmtId="165" fontId="14" fillId="4" borderId="1" xfId="0" applyFont="true" applyBorder="true" applyAlignment="true" applyProtection="false">
      <alignment horizontal="right" vertical="center" textRotation="0" wrapText="false" indent="0" shrinkToFit="false"/>
      <protection locked="true" hidden="false"/>
    </xf>
    <xf numFmtId="165" fontId="14" fillId="6" borderId="1" xfId="0" applyFont="true" applyBorder="true" applyAlignment="true" applyProtection="false">
      <alignment horizontal="right" vertical="center" textRotation="0" wrapText="false" indent="0" shrinkToFit="false"/>
      <protection locked="true" hidden="false"/>
    </xf>
    <xf numFmtId="164" fontId="15" fillId="4" borderId="1" xfId="0" applyFont="true" applyBorder="true" applyAlignment="true" applyProtection="false">
      <alignment horizontal="left" vertical="center" textRotation="0" wrapText="false" indent="2" shrinkToFit="false"/>
      <protection locked="true" hidden="false"/>
    </xf>
    <xf numFmtId="164" fontId="16" fillId="9" borderId="1" xfId="0" applyFont="true" applyBorder="true" applyAlignment="true" applyProtection="false">
      <alignment horizontal="center" vertical="center" textRotation="0" wrapText="false" indent="0" shrinkToFit="false"/>
      <protection locked="true" hidden="false"/>
    </xf>
    <xf numFmtId="168" fontId="17" fillId="7" borderId="1" xfId="0" applyFont="true" applyBorder="true" applyAlignment="true" applyProtection="false">
      <alignment horizontal="right" vertical="center" textRotation="0" wrapText="false" indent="0" shrinkToFit="false"/>
      <protection locked="true" hidden="false"/>
    </xf>
    <xf numFmtId="168" fontId="18" fillId="10" borderId="1" xfId="0" applyFont="true" applyBorder="true" applyAlignment="true" applyProtection="false">
      <alignment horizontal="right" vertical="center" textRotation="0" wrapText="false" indent="0" shrinkToFit="false"/>
      <protection locked="true" hidden="false"/>
    </xf>
    <xf numFmtId="168" fontId="12" fillId="5" borderId="1" xfId="0" applyFont="true" applyBorder="true" applyAlignment="true" applyProtection="false">
      <alignment horizontal="right" vertical="center" textRotation="0" wrapText="false" indent="0" shrinkToFit="false"/>
      <protection locked="true" hidden="false"/>
    </xf>
    <xf numFmtId="168" fontId="14" fillId="8" borderId="1" xfId="0" applyFont="true" applyBorder="true" applyAlignment="true" applyProtection="false">
      <alignment horizontal="right" vertical="center" textRotation="0" wrapText="false" indent="0" shrinkToFit="false"/>
      <protection locked="true" hidden="false"/>
    </xf>
    <xf numFmtId="164" fontId="16" fillId="3" borderId="1" xfId="0" applyFont="true" applyBorder="true" applyAlignment="true" applyProtection="false">
      <alignment horizontal="center" vertical="center" textRotation="0" wrapText="false" indent="0" shrinkToFit="false"/>
      <protection locked="true" hidden="false"/>
    </xf>
    <xf numFmtId="169" fontId="17" fillId="7" borderId="1" xfId="0" applyFont="true" applyBorder="true" applyAlignment="true" applyProtection="false">
      <alignment horizontal="right" vertical="center" textRotation="0" wrapText="false" indent="0" shrinkToFit="false"/>
      <protection locked="true" hidden="false"/>
    </xf>
    <xf numFmtId="169" fontId="18" fillId="10" borderId="1" xfId="0" applyFont="true" applyBorder="true" applyAlignment="true" applyProtection="false">
      <alignment horizontal="right" vertical="center" textRotation="0" wrapText="false" indent="0" shrinkToFit="false"/>
      <protection locked="true" hidden="false"/>
    </xf>
    <xf numFmtId="169" fontId="12" fillId="5" borderId="1" xfId="0" applyFont="true" applyBorder="true" applyAlignment="true" applyProtection="false">
      <alignment horizontal="right" vertical="center" textRotation="0" wrapText="false" indent="0" shrinkToFit="false"/>
      <protection locked="true" hidden="false"/>
    </xf>
    <xf numFmtId="164" fontId="16" fillId="11" borderId="1" xfId="0" applyFont="true" applyBorder="true" applyAlignment="true" applyProtection="false">
      <alignment horizontal="center" vertical="center" textRotation="0" wrapText="false" indent="0" shrinkToFit="false"/>
      <protection locked="true" hidden="false"/>
    </xf>
    <xf numFmtId="170" fontId="17" fillId="7" borderId="1" xfId="0" applyFont="true" applyBorder="true" applyAlignment="true" applyProtection="false">
      <alignment horizontal="right" vertical="center" textRotation="0" wrapText="false" indent="0" shrinkToFit="false"/>
      <protection locked="true" hidden="false"/>
    </xf>
    <xf numFmtId="170" fontId="12" fillId="5" borderId="1" xfId="0" applyFont="true" applyBorder="true" applyAlignment="true" applyProtection="false">
      <alignment horizontal="right" vertical="center" textRotation="0" wrapText="false" indent="0" shrinkToFit="false"/>
      <protection locked="true" hidden="false"/>
    </xf>
    <xf numFmtId="164" fontId="16" fillId="2" borderId="1" xfId="0" applyFont="true" applyBorder="true" applyAlignment="true" applyProtection="false">
      <alignment horizontal="center" vertical="center" textRotation="0" wrapText="false" indent="0" shrinkToFit="false"/>
      <protection locked="true" hidden="false"/>
    </xf>
    <xf numFmtId="171" fontId="18" fillId="10" borderId="1" xfId="0" applyFont="true" applyBorder="true" applyAlignment="true" applyProtection="false">
      <alignment horizontal="right" vertical="center" textRotation="0" wrapText="false" indent="0" shrinkToFit="false"/>
      <protection locked="true" hidden="false"/>
    </xf>
    <xf numFmtId="171" fontId="14" fillId="8" borderId="1" xfId="0" applyFont="true" applyBorder="true" applyAlignment="true" applyProtection="false">
      <alignment horizontal="right" vertical="center" textRotation="0" wrapText="false" indent="0" shrinkToFit="false"/>
      <protection locked="true" hidden="false"/>
    </xf>
    <xf numFmtId="171" fontId="12" fillId="5" borderId="1" xfId="0" applyFont="true" applyBorder="true" applyAlignment="true" applyProtection="false">
      <alignment horizontal="right" vertical="center" textRotation="0" wrapText="false" indent="0" shrinkToFit="false"/>
      <protection locked="true" hidden="false"/>
    </xf>
    <xf numFmtId="164" fontId="16" fillId="12" borderId="1" xfId="0" applyFont="true" applyBorder="true" applyAlignment="true" applyProtection="false">
      <alignment horizontal="center" vertical="center" textRotation="0" wrapText="false" indent="0" shrinkToFit="false"/>
      <protection locked="true" hidden="false"/>
    </xf>
    <xf numFmtId="170" fontId="9" fillId="6" borderId="1" xfId="0" applyFont="true" applyBorder="true" applyAlignment="true" applyProtection="false">
      <alignment horizontal="right" vertical="center" textRotation="0" wrapText="false" indent="0" shrinkToFit="false"/>
      <protection locked="true" hidden="false"/>
    </xf>
    <xf numFmtId="170" fontId="9" fillId="4" borderId="1" xfId="0" applyFont="true" applyBorder="true" applyAlignment="true" applyProtection="false">
      <alignment horizontal="right" vertical="center" textRotation="0" wrapText="false" indent="0" shrinkToFit="false"/>
      <protection locked="true" hidden="false"/>
    </xf>
    <xf numFmtId="169" fontId="9" fillId="6" borderId="1" xfId="0" applyFont="true" applyBorder="true" applyAlignment="true" applyProtection="false">
      <alignment horizontal="right" vertical="center" textRotation="0" wrapText="false" indent="0" shrinkToFit="false"/>
      <protection locked="true" hidden="false"/>
    </xf>
    <xf numFmtId="169" fontId="9" fillId="4" borderId="1" xfId="0" applyFont="true" applyBorder="true" applyAlignment="true" applyProtection="false">
      <alignment horizontal="right" vertical="center" textRotation="0" wrapText="false" indent="0" shrinkToFit="false"/>
      <protection locked="true" hidden="false"/>
    </xf>
    <xf numFmtId="168" fontId="9" fillId="6" borderId="1" xfId="0" applyFont="true" applyBorder="true" applyAlignment="true" applyProtection="false">
      <alignment horizontal="right" vertical="center" textRotation="0" wrapText="false" indent="0" shrinkToFit="false"/>
      <protection locked="true" hidden="false"/>
    </xf>
    <xf numFmtId="168" fontId="9" fillId="4" borderId="1" xfId="0" applyFont="true" applyBorder="true" applyAlignment="true" applyProtection="false">
      <alignment horizontal="right" vertical="center" textRotation="0" wrapText="false" indent="0" shrinkToFit="false"/>
      <protection locked="true" hidden="false"/>
    </xf>
    <xf numFmtId="172" fontId="19" fillId="10" borderId="1" xfId="0" applyFont="true" applyBorder="true" applyAlignment="true" applyProtection="false">
      <alignment horizontal="right" vertical="center" textRotation="0" wrapText="false" indent="0" shrinkToFit="false"/>
      <protection locked="true" hidden="false"/>
    </xf>
    <xf numFmtId="164" fontId="10" fillId="0" borderId="0" xfId="0" applyFont="true" applyBorder="true" applyAlignment="true" applyProtection="false">
      <alignment horizontal="general" vertical="bottom" textRotation="0" wrapText="false" indent="0" shrinkToFit="false"/>
      <protection locked="true" hidden="false"/>
    </xf>
    <xf numFmtId="164" fontId="15" fillId="4" borderId="1" xfId="0" applyFont="true" applyBorder="true" applyAlignment="true" applyProtection="false">
      <alignment horizontal="left" vertical="center" textRotation="0" wrapText="false" indent="0" shrinkToFit="false"/>
      <protection locked="true" hidden="false"/>
    </xf>
    <xf numFmtId="173" fontId="19" fillId="10" borderId="1" xfId="0" applyFont="true" applyBorder="true" applyAlignment="true" applyProtection="false">
      <alignment horizontal="right" vertical="center" textRotation="0" wrapText="false" indent="0" shrinkToFit="false"/>
      <protection locked="true" hidden="false"/>
    </xf>
    <xf numFmtId="164" fontId="20" fillId="4" borderId="1" xfId="0" applyFont="true" applyBorder="true" applyAlignment="true" applyProtection="false">
      <alignment horizontal="left" vertical="center" textRotation="0" wrapText="false" indent="0" shrinkToFit="false"/>
      <protection locked="true" hidden="false"/>
    </xf>
    <xf numFmtId="174" fontId="19" fillId="10" borderId="1" xfId="0" applyFont="true" applyBorder="true" applyAlignment="true" applyProtection="false">
      <alignment horizontal="right" vertical="center" textRotation="0" wrapText="false" indent="0" shrinkToFit="false"/>
      <protection locked="true" hidden="false"/>
    </xf>
    <xf numFmtId="175" fontId="19" fillId="10" borderId="1" xfId="0" applyFont="true" applyBorder="true" applyAlignment="true" applyProtection="false">
      <alignment horizontal="right" vertical="center" textRotation="0" wrapText="false" indent="0" shrinkToFit="false"/>
      <protection locked="true" hidden="false"/>
    </xf>
    <xf numFmtId="173" fontId="21" fillId="7" borderId="1" xfId="0" applyFont="true" applyBorder="true" applyAlignment="true" applyProtection="false">
      <alignment horizontal="right" vertical="center" textRotation="0" wrapText="false" indent="0" shrinkToFit="false"/>
      <protection locked="true" hidden="false"/>
    </xf>
    <xf numFmtId="176" fontId="21" fillId="7" borderId="1" xfId="0" applyFont="true" applyBorder="true" applyAlignment="true" applyProtection="false">
      <alignment horizontal="right" vertical="center" textRotation="0" wrapText="false" indent="0" shrinkToFit="false"/>
      <protection locked="true" hidden="false"/>
    </xf>
    <xf numFmtId="168" fontId="21" fillId="7" borderId="1" xfId="0" applyFont="true" applyBorder="true" applyAlignment="true" applyProtection="false">
      <alignment horizontal="right" vertical="center" textRotation="0" wrapText="false" indent="0" shrinkToFit="false"/>
      <protection locked="true" hidden="false"/>
    </xf>
    <xf numFmtId="177" fontId="6" fillId="3" borderId="1" xfId="0" applyFont="true" applyBorder="true" applyAlignment="true" applyProtection="false">
      <alignment horizontal="center" vertical="center" textRotation="0" wrapText="false" indent="0" shrinkToFit="false"/>
      <protection locked="true" hidden="false"/>
    </xf>
    <xf numFmtId="174" fontId="6" fillId="3" borderId="1" xfId="0" applyFont="true" applyBorder="true" applyAlignment="true" applyProtection="false">
      <alignment horizontal="center" vertical="center" textRotation="0" wrapText="false" indent="0" shrinkToFit="false"/>
      <protection locked="true" hidden="false"/>
    </xf>
    <xf numFmtId="176" fontId="11" fillId="7" borderId="1" xfId="0" applyFont="true" applyBorder="true" applyAlignment="true" applyProtection="false">
      <alignment horizontal="right" vertical="center" textRotation="0" wrapText="false" indent="0" shrinkToFit="false"/>
      <protection locked="true" hidden="false"/>
    </xf>
    <xf numFmtId="164" fontId="20" fillId="10" borderId="1" xfId="0" applyFont="true" applyBorder="true" applyAlignment="true" applyProtection="false">
      <alignment horizontal="left" vertical="center" textRotation="0" wrapText="true" indent="1"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2CC"/>
      <rgbColor rgb="FFDEEA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E2EFDA"/>
      <rgbColor rgb="FFFDECEA"/>
      <rgbColor rgb="FF99CCFF"/>
      <rgbColor rgb="FFFF99CC"/>
      <rgbColor rgb="FFCC99FF"/>
      <rgbColor rgb="FFFFCC99"/>
      <rgbColor rgb="FF2E75B6"/>
      <rgbColor rgb="FF33CCCC"/>
      <rgbColor rgb="FF99CC00"/>
      <rgbColor rgb="FFFFCC00"/>
      <rgbColor rgb="FFBF8F00"/>
      <rgbColor rgb="FFC55A11"/>
      <rgbColor rgb="FF595959"/>
      <rgbColor rgb="FF70AD47"/>
      <rgbColor rgb="FF003366"/>
      <rgbColor rgb="FF339966"/>
      <rgbColor rgb="FF003300"/>
      <rgbColor rgb="FF333300"/>
      <rgbColor rgb="FF993300"/>
      <rgbColor rgb="FF993366"/>
      <rgbColor rgb="FF1F4E79"/>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23"/>
  <sheetViews>
    <sheetView showFormulas="false" showGridLines="false" showRowColHeaders="true" showZeros="true" rightToLeft="false" tabSelected="false" showOutlineSymbols="true" defaultGridColor="true" view="normal" topLeftCell="A10"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4"/>
    <col collapsed="false" customWidth="true" hidden="false" outlineLevel="0" max="2" min="2" style="1" width="40"/>
    <col collapsed="false" customWidth="true" hidden="false" outlineLevel="0" max="3" min="3" style="1" width="64.84"/>
  </cols>
  <sheetData>
    <row r="1" customFormat="false" ht="25.5" hidden="false" customHeight="true" outlineLevel="0" collapsed="false">
      <c r="B1" s="2" t="s">
        <v>0</v>
      </c>
      <c r="C1" s="2"/>
    </row>
    <row r="2" customFormat="false" ht="21.75" hidden="false" customHeight="true" outlineLevel="0" collapsed="false">
      <c r="B2" s="3" t="s">
        <v>1</v>
      </c>
      <c r="C2" s="3"/>
    </row>
    <row r="4" customFormat="false" ht="15" hidden="false" customHeight="true" outlineLevel="0" collapsed="false">
      <c r="B4" s="4" t="s">
        <v>2</v>
      </c>
      <c r="C4" s="5" t="s">
        <v>3</v>
      </c>
    </row>
    <row r="5" customFormat="false" ht="18" hidden="false" customHeight="true" outlineLevel="0" collapsed="false">
      <c r="B5" s="6" t="s">
        <v>4</v>
      </c>
      <c r="C5" s="7" t="s">
        <v>5</v>
      </c>
    </row>
    <row r="6" customFormat="false" ht="18" hidden="false" customHeight="true" outlineLevel="0" collapsed="false">
      <c r="B6" s="8" t="s">
        <v>6</v>
      </c>
      <c r="C6" s="9" t="s">
        <v>7</v>
      </c>
    </row>
    <row r="7" customFormat="false" ht="18" hidden="false" customHeight="true" outlineLevel="0" collapsed="false">
      <c r="B7" s="6" t="s">
        <v>8</v>
      </c>
      <c r="C7" s="7" t="s">
        <v>9</v>
      </c>
    </row>
    <row r="8" customFormat="false" ht="18" hidden="false" customHeight="true" outlineLevel="0" collapsed="false">
      <c r="B8" s="8" t="s">
        <v>10</v>
      </c>
      <c r="C8" s="9" t="s">
        <v>11</v>
      </c>
    </row>
    <row r="9" customFormat="false" ht="18" hidden="false" customHeight="true" outlineLevel="0" collapsed="false">
      <c r="B9" s="6" t="s">
        <v>12</v>
      </c>
      <c r="C9" s="7" t="s">
        <v>13</v>
      </c>
    </row>
    <row r="10" customFormat="false" ht="18" hidden="false" customHeight="true" outlineLevel="0" collapsed="false">
      <c r="B10" s="8" t="s">
        <v>14</v>
      </c>
      <c r="C10" s="9" t="s">
        <v>15</v>
      </c>
    </row>
    <row r="12" customFormat="false" ht="15" hidden="false" customHeight="true" outlineLevel="0" collapsed="false">
      <c r="B12" s="4" t="s">
        <v>16</v>
      </c>
      <c r="C12" s="10"/>
    </row>
    <row r="13" customFormat="false" ht="16.5" hidden="false" customHeight="true" outlineLevel="0" collapsed="false">
      <c r="B13" s="6" t="s">
        <v>17</v>
      </c>
      <c r="C13" s="7" t="s">
        <v>18</v>
      </c>
    </row>
    <row r="14" customFormat="false" ht="16.5" hidden="false" customHeight="true" outlineLevel="0" collapsed="false">
      <c r="B14" s="8" t="s">
        <v>19</v>
      </c>
      <c r="C14" s="9" t="s">
        <v>20</v>
      </c>
    </row>
    <row r="15" customFormat="false" ht="16.5" hidden="false" customHeight="true" outlineLevel="0" collapsed="false">
      <c r="B15" s="6" t="s">
        <v>21</v>
      </c>
      <c r="C15" s="7" t="s">
        <v>22</v>
      </c>
    </row>
    <row r="16" customFormat="false" ht="16.5" hidden="false" customHeight="true" outlineLevel="0" collapsed="false">
      <c r="B16" s="8" t="s">
        <v>23</v>
      </c>
      <c r="C16" s="9" t="s">
        <v>24</v>
      </c>
    </row>
    <row r="17" customFormat="false" ht="16.5" hidden="false" customHeight="true" outlineLevel="0" collapsed="false">
      <c r="B17" s="6" t="s">
        <v>25</v>
      </c>
      <c r="C17" s="7" t="s">
        <v>26</v>
      </c>
    </row>
    <row r="18" customFormat="false" ht="16.5" hidden="false" customHeight="true" outlineLevel="0" collapsed="false">
      <c r="B18" s="8" t="s">
        <v>27</v>
      </c>
      <c r="C18" s="9" t="n">
        <f aca="false">'DCF Valuation'!C10*1000000</f>
        <v>4300825000</v>
      </c>
    </row>
    <row r="19" customFormat="false" ht="16.5" hidden="false" customHeight="true" outlineLevel="0" collapsed="false">
      <c r="B19" s="6" t="s">
        <v>28</v>
      </c>
      <c r="C19" s="11" t="n">
        <f aca="false">'Income Statement'!L6</f>
        <v>445680</v>
      </c>
    </row>
    <row r="20" customFormat="false" ht="16.5" hidden="false" customHeight="true" outlineLevel="0" collapsed="false">
      <c r="B20" s="8" t="s">
        <v>29</v>
      </c>
      <c r="C20" s="12" t="n">
        <f aca="false">'Income Statement'!L21</f>
        <v>130546</v>
      </c>
    </row>
    <row r="21" customFormat="false" ht="16.5" hidden="false" customHeight="true" outlineLevel="0" collapsed="false">
      <c r="B21" s="6" t="s">
        <v>30</v>
      </c>
      <c r="C21" s="13" t="n">
        <f aca="false">'Income Statement'!L23</f>
        <v>30.3537112065708</v>
      </c>
    </row>
    <row r="22" customFormat="false" ht="16.5" hidden="false" customHeight="true" outlineLevel="0" collapsed="false">
      <c r="B22" s="8" t="s">
        <v>31</v>
      </c>
      <c r="C22" s="14" t="n">
        <f aca="false">'Income Statement'!L24</f>
        <v>12</v>
      </c>
    </row>
    <row r="23" customFormat="false" ht="16.5" hidden="false" customHeight="true" outlineLevel="0" collapsed="false">
      <c r="B23" s="6" t="s">
        <v>32</v>
      </c>
      <c r="C23" s="7" t="s">
        <v>33</v>
      </c>
    </row>
  </sheetData>
  <mergeCells count="2">
    <mergeCell ref="B1:C1"/>
    <mergeCell ref="B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M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I11" activeCellId="0" sqref="I11"/>
    </sheetView>
  </sheetViews>
  <sheetFormatPr defaultColWidth="8.6796875" defaultRowHeight="15" customHeight="true" zeroHeight="false" outlineLevelRow="0" outlineLevelCol="0"/>
  <cols>
    <col collapsed="false" customWidth="true" hidden="false" outlineLevel="0" max="1" min="1" style="1" width="3"/>
    <col collapsed="false" customWidth="true" hidden="false" outlineLevel="0" max="2" min="2" style="1" width="36"/>
    <col collapsed="false" customWidth="true" hidden="false" outlineLevel="0" max="12" min="3" style="1" width="13"/>
    <col collapsed="false" customWidth="true" hidden="false" outlineLevel="0" max="13" min="13" style="1" width="14"/>
  </cols>
  <sheetData>
    <row r="1" customFormat="false" ht="25.5" hidden="false" customHeight="true" outlineLevel="0" collapsed="false">
      <c r="B1" s="2" t="s">
        <v>34</v>
      </c>
      <c r="C1" s="2"/>
      <c r="D1" s="2"/>
      <c r="E1" s="2"/>
      <c r="F1" s="2"/>
      <c r="G1" s="2"/>
      <c r="H1" s="2"/>
      <c r="I1" s="2"/>
      <c r="J1" s="2"/>
      <c r="K1" s="2"/>
      <c r="L1" s="2"/>
      <c r="M1" s="2"/>
    </row>
    <row r="2" customFormat="false" ht="15" hidden="false" customHeight="true" outlineLevel="0" collapsed="false">
      <c r="B2" s="15" t="s">
        <v>35</v>
      </c>
      <c r="C2" s="15"/>
      <c r="D2" s="15"/>
      <c r="E2" s="15"/>
      <c r="F2" s="15"/>
      <c r="G2" s="15"/>
      <c r="H2" s="15"/>
      <c r="I2" s="15"/>
      <c r="J2" s="15"/>
      <c r="K2" s="15"/>
      <c r="L2" s="15"/>
      <c r="M2" s="15"/>
    </row>
    <row r="4" customFormat="false" ht="19.5" hidden="false" customHeight="true" outlineLevel="0" collapsed="false">
      <c r="B4" s="4" t="s">
        <v>36</v>
      </c>
      <c r="C4" s="5" t="s">
        <v>37</v>
      </c>
      <c r="D4" s="5" t="s">
        <v>38</v>
      </c>
      <c r="E4" s="5" t="s">
        <v>39</v>
      </c>
      <c r="F4" s="5" t="s">
        <v>40</v>
      </c>
      <c r="G4" s="5" t="s">
        <v>41</v>
      </c>
      <c r="H4" s="5" t="s">
        <v>42</v>
      </c>
      <c r="I4" s="5" t="s">
        <v>43</v>
      </c>
      <c r="J4" s="5" t="s">
        <v>44</v>
      </c>
      <c r="K4" s="5" t="s">
        <v>45</v>
      </c>
      <c r="L4" s="5" t="s">
        <v>46</v>
      </c>
      <c r="M4" s="16" t="s">
        <v>47</v>
      </c>
    </row>
    <row r="5" customFormat="false" ht="18" hidden="false" customHeight="true" outlineLevel="0" collapsed="false">
      <c r="B5" s="17" t="s">
        <v>48</v>
      </c>
      <c r="C5" s="17"/>
      <c r="D5" s="17"/>
      <c r="E5" s="17"/>
      <c r="F5" s="17"/>
      <c r="G5" s="17"/>
      <c r="H5" s="17"/>
      <c r="I5" s="17"/>
      <c r="J5" s="17"/>
      <c r="K5" s="17"/>
      <c r="L5" s="17"/>
      <c r="M5" s="17"/>
    </row>
    <row r="6" customFormat="false" ht="16.5" hidden="false" customHeight="true" outlineLevel="0" collapsed="false">
      <c r="B6" s="18" t="s">
        <v>49</v>
      </c>
      <c r="C6" s="19" t="n">
        <v>181432</v>
      </c>
      <c r="D6" s="20" t="n">
        <v>145230</v>
      </c>
      <c r="E6" s="19" t="n">
        <v>148920</v>
      </c>
      <c r="F6" s="20" t="n">
        <v>192640</v>
      </c>
      <c r="G6" s="19" t="n">
        <v>214380</v>
      </c>
      <c r="H6" s="20" t="n">
        <v>179250</v>
      </c>
      <c r="I6" s="19" t="n">
        <v>198640</v>
      </c>
      <c r="J6" s="20" t="n">
        <v>282150</v>
      </c>
      <c r="K6" s="19" t="n">
        <v>389420</v>
      </c>
      <c r="L6" s="20" t="n">
        <v>445680</v>
      </c>
      <c r="M6" s="21" t="n">
        <f aca="false">IFERROR((L6/C6)^(1/9)-1,"N/A")</f>
        <v>0.105013783503416</v>
      </c>
    </row>
    <row r="7" customFormat="false" ht="16.5" hidden="false" customHeight="true" outlineLevel="0" collapsed="false">
      <c r="B7" s="18" t="s">
        <v>50</v>
      </c>
      <c r="C7" s="19" t="n">
        <v>27215</v>
      </c>
      <c r="D7" s="20" t="n">
        <v>21785</v>
      </c>
      <c r="E7" s="19" t="n">
        <v>22338</v>
      </c>
      <c r="F7" s="20" t="n">
        <v>28896</v>
      </c>
      <c r="G7" s="19" t="n">
        <v>32157</v>
      </c>
      <c r="H7" s="20" t="n">
        <v>26888</v>
      </c>
      <c r="I7" s="19" t="n">
        <v>29796</v>
      </c>
      <c r="J7" s="20" t="n">
        <v>42323</v>
      </c>
      <c r="K7" s="19" t="n">
        <v>58413</v>
      </c>
      <c r="L7" s="20" t="n">
        <v>66852</v>
      </c>
      <c r="M7" s="21" t="n">
        <f aca="false">IFERROR((L7/C7)^(1/9)-1,"N/A")</f>
        <v>0.105012881209017</v>
      </c>
    </row>
    <row r="8" customFormat="false" ht="16.5" hidden="false" customHeight="true" outlineLevel="0" collapsed="false">
      <c r="B8" s="22" t="s">
        <v>51</v>
      </c>
      <c r="C8" s="23" t="n">
        <f aca="false">C6-C7</f>
        <v>154217</v>
      </c>
      <c r="D8" s="23" t="n">
        <f aca="false">D6-D7</f>
        <v>123445</v>
      </c>
      <c r="E8" s="23" t="n">
        <f aca="false">E6-E7</f>
        <v>126582</v>
      </c>
      <c r="F8" s="23" t="n">
        <f aca="false">F6-F7</f>
        <v>163744</v>
      </c>
      <c r="G8" s="23" t="n">
        <f aca="false">G6-G7</f>
        <v>182223</v>
      </c>
      <c r="H8" s="23" t="n">
        <f aca="false">H6-H7</f>
        <v>152362</v>
      </c>
      <c r="I8" s="23" t="n">
        <f aca="false">I6-I7</f>
        <v>168844</v>
      </c>
      <c r="J8" s="23" t="n">
        <f aca="false">J6-J7</f>
        <v>239827</v>
      </c>
      <c r="K8" s="23" t="n">
        <f aca="false">K6-K7</f>
        <v>331007</v>
      </c>
      <c r="L8" s="23" t="n">
        <f aca="false">L6-L7</f>
        <v>378828</v>
      </c>
      <c r="M8" s="21" t="n">
        <f aca="false">IFERROR((L8/C8)^(1/9)-1,"N/A")</f>
        <v>0.105013942732604</v>
      </c>
    </row>
    <row r="9" customFormat="false" ht="18" hidden="false" customHeight="true" outlineLevel="0" collapsed="false">
      <c r="B9" s="17" t="s">
        <v>52</v>
      </c>
      <c r="C9" s="17"/>
      <c r="D9" s="17"/>
      <c r="E9" s="17"/>
      <c r="F9" s="17"/>
      <c r="G9" s="17"/>
      <c r="H9" s="17"/>
      <c r="I9" s="17"/>
      <c r="J9" s="17"/>
      <c r="K9" s="17"/>
      <c r="L9" s="17"/>
      <c r="M9" s="17"/>
    </row>
    <row r="10" customFormat="false" ht="16.5" hidden="false" customHeight="true" outlineLevel="0" collapsed="false">
      <c r="B10" s="18" t="s">
        <v>53</v>
      </c>
      <c r="C10" s="19" t="n">
        <v>62450</v>
      </c>
      <c r="D10" s="20" t="n">
        <v>58230</v>
      </c>
      <c r="E10" s="19" t="n">
        <v>61450</v>
      </c>
      <c r="F10" s="20" t="n">
        <v>74280</v>
      </c>
      <c r="G10" s="19" t="n">
        <v>83650</v>
      </c>
      <c r="H10" s="20" t="n">
        <v>79420</v>
      </c>
      <c r="I10" s="19" t="n">
        <v>86540</v>
      </c>
      <c r="J10" s="20" t="n">
        <v>112340</v>
      </c>
      <c r="K10" s="19" t="n">
        <v>148620</v>
      </c>
      <c r="L10" s="20" t="n">
        <v>168450</v>
      </c>
      <c r="M10" s="21" t="n">
        <f aca="false">IFERROR((L10/C10)^(1/9)-1,"N/A")</f>
        <v>0.116559995200865</v>
      </c>
    </row>
    <row r="11" customFormat="false" ht="16.5" hidden="false" customHeight="true" outlineLevel="0" collapsed="false">
      <c r="B11" s="24" t="s">
        <v>54</v>
      </c>
      <c r="C11" s="25" t="n">
        <f aca="false">C8-C10</f>
        <v>91767</v>
      </c>
      <c r="D11" s="25" t="n">
        <f aca="false">D8-D10</f>
        <v>65215</v>
      </c>
      <c r="E11" s="25" t="n">
        <f aca="false">E8-E10</f>
        <v>65132</v>
      </c>
      <c r="F11" s="25" t="n">
        <f aca="false">F8-F10</f>
        <v>89464</v>
      </c>
      <c r="G11" s="25" t="n">
        <f aca="false">G8-G10</f>
        <v>98573</v>
      </c>
      <c r="H11" s="25" t="n">
        <f aca="false">H8-H10</f>
        <v>72942</v>
      </c>
      <c r="I11" s="25" t="n">
        <f aca="false">I8-I10</f>
        <v>82304</v>
      </c>
      <c r="J11" s="25" t="n">
        <f aca="false">J8-J10</f>
        <v>127487</v>
      </c>
      <c r="K11" s="25" t="n">
        <f aca="false">K8-K10</f>
        <v>182387</v>
      </c>
      <c r="L11" s="25" t="n">
        <f aca="false">L8-L10</f>
        <v>210378</v>
      </c>
      <c r="M11" s="21" t="n">
        <f aca="false">IFERROR((L11/C11)^(1/9)-1,"N/A")</f>
        <v>0.0965662253490203</v>
      </c>
    </row>
    <row r="12" customFormat="false" ht="16.5" hidden="false" customHeight="true" outlineLevel="0" collapsed="false">
      <c r="B12" s="18" t="s">
        <v>55</v>
      </c>
      <c r="C12" s="19" t="n">
        <v>8240</v>
      </c>
      <c r="D12" s="20" t="n">
        <v>6120</v>
      </c>
      <c r="E12" s="19" t="n">
        <v>5840</v>
      </c>
      <c r="F12" s="20" t="n">
        <v>7650</v>
      </c>
      <c r="G12" s="19" t="n">
        <v>9230</v>
      </c>
      <c r="H12" s="20" t="n">
        <v>7840</v>
      </c>
      <c r="I12" s="19" t="n">
        <v>8920</v>
      </c>
      <c r="J12" s="20" t="n">
        <v>12450</v>
      </c>
      <c r="K12" s="19" t="n">
        <v>16840</v>
      </c>
      <c r="L12" s="20" t="n">
        <v>19230</v>
      </c>
      <c r="M12" s="21" t="n">
        <f aca="false">IFERROR((L12/C12)^(1/9)-1,"N/A")</f>
        <v>0.0987393404094368</v>
      </c>
    </row>
    <row r="13" customFormat="false" ht="16.5" hidden="false" customHeight="true" outlineLevel="0" collapsed="false">
      <c r="B13" s="18" t="s">
        <v>56</v>
      </c>
      <c r="C13" s="19" t="n">
        <v>18450</v>
      </c>
      <c r="D13" s="20" t="n">
        <v>19230</v>
      </c>
      <c r="E13" s="19" t="n">
        <v>20140</v>
      </c>
      <c r="F13" s="20" t="n">
        <v>22380</v>
      </c>
      <c r="G13" s="19" t="n">
        <v>24650</v>
      </c>
      <c r="H13" s="20" t="n">
        <v>25840</v>
      </c>
      <c r="I13" s="19" t="n">
        <v>27320</v>
      </c>
      <c r="J13" s="20" t="n">
        <v>31450</v>
      </c>
      <c r="K13" s="19" t="n">
        <v>38620</v>
      </c>
      <c r="L13" s="20" t="n">
        <v>44230</v>
      </c>
      <c r="M13" s="21" t="n">
        <f aca="false">IFERROR((L13/C13)^(1/9)-1,"N/A")</f>
        <v>0.102024308529051</v>
      </c>
    </row>
    <row r="14" customFormat="false" ht="16.5" hidden="false" customHeight="true" outlineLevel="0" collapsed="false">
      <c r="B14" s="22" t="s">
        <v>57</v>
      </c>
      <c r="C14" s="23" t="n">
        <f aca="false">C15+C13</f>
        <v>83527</v>
      </c>
      <c r="D14" s="23" t="n">
        <f aca="false">D15+D13</f>
        <v>59095</v>
      </c>
      <c r="E14" s="23" t="n">
        <f aca="false">E15+E13</f>
        <v>59292</v>
      </c>
      <c r="F14" s="23" t="n">
        <f aca="false">F15+F13</f>
        <v>81814</v>
      </c>
      <c r="G14" s="23" t="n">
        <f aca="false">G15+G13</f>
        <v>89343</v>
      </c>
      <c r="H14" s="23" t="n">
        <f aca="false">H15+H13</f>
        <v>65102</v>
      </c>
      <c r="I14" s="23" t="n">
        <f aca="false">I15+I13</f>
        <v>73384</v>
      </c>
      <c r="J14" s="23" t="n">
        <f aca="false">J15+J13</f>
        <v>115037</v>
      </c>
      <c r="K14" s="23" t="n">
        <f aca="false">K15+K13</f>
        <v>165547</v>
      </c>
      <c r="L14" s="23" t="n">
        <f aca="false">L15+L13</f>
        <v>191148</v>
      </c>
      <c r="M14" s="21" t="n">
        <f aca="false">IFERROR((L14/C14)^(1/9)-1,"N/A")</f>
        <v>0.0963499681700764</v>
      </c>
    </row>
    <row r="15" customFormat="false" ht="16.5" hidden="false" customHeight="true" outlineLevel="0" collapsed="false">
      <c r="B15" s="8" t="s">
        <v>58</v>
      </c>
      <c r="C15" s="26" t="n">
        <f aca="false">C11-C12-C13</f>
        <v>65077</v>
      </c>
      <c r="D15" s="26" t="n">
        <f aca="false">D11-D12-D13</f>
        <v>39865</v>
      </c>
      <c r="E15" s="26" t="n">
        <f aca="false">E11-E12-E13</f>
        <v>39152</v>
      </c>
      <c r="F15" s="26" t="n">
        <f aca="false">F11-F12-F13</f>
        <v>59434</v>
      </c>
      <c r="G15" s="26" t="n">
        <f aca="false">G11-G12-G13</f>
        <v>64693</v>
      </c>
      <c r="H15" s="26" t="n">
        <f aca="false">H11-H12-H13</f>
        <v>39262</v>
      </c>
      <c r="I15" s="26" t="n">
        <f aca="false">I11-I12-I13</f>
        <v>46064</v>
      </c>
      <c r="J15" s="26" t="n">
        <f aca="false">J11-J12-J13</f>
        <v>83587</v>
      </c>
      <c r="K15" s="26" t="n">
        <f aca="false">K11-K12-K13</f>
        <v>126927</v>
      </c>
      <c r="L15" s="26" t="n">
        <f aca="false">L11-L12-L13</f>
        <v>146918</v>
      </c>
      <c r="M15" s="21" t="n">
        <f aca="false">IFERROR((L15/C15)^(1/9)-1,"N/A")</f>
        <v>0.0946975972183397</v>
      </c>
    </row>
    <row r="16" customFormat="false" ht="18" hidden="false" customHeight="true" outlineLevel="0" collapsed="false">
      <c r="B16" s="17" t="s">
        <v>59</v>
      </c>
      <c r="C16" s="17"/>
      <c r="D16" s="17"/>
      <c r="E16" s="17"/>
      <c r="F16" s="17"/>
      <c r="G16" s="17"/>
      <c r="H16" s="17"/>
      <c r="I16" s="17"/>
      <c r="J16" s="17"/>
      <c r="K16" s="17"/>
      <c r="L16" s="17"/>
      <c r="M16" s="17"/>
    </row>
    <row r="17" customFormat="false" ht="16.5" hidden="false" customHeight="true" outlineLevel="0" collapsed="false">
      <c r="B17" s="18" t="s">
        <v>60</v>
      </c>
      <c r="C17" s="19" t="n">
        <v>1240</v>
      </c>
      <c r="D17" s="20" t="n">
        <v>1850</v>
      </c>
      <c r="E17" s="19" t="n">
        <v>2140</v>
      </c>
      <c r="F17" s="20" t="n">
        <v>2680</v>
      </c>
      <c r="G17" s="19" t="n">
        <v>3240</v>
      </c>
      <c r="H17" s="20" t="n">
        <v>4120</v>
      </c>
      <c r="I17" s="19" t="n">
        <v>3840</v>
      </c>
      <c r="J17" s="20" t="n">
        <v>4250</v>
      </c>
      <c r="K17" s="19" t="n">
        <v>6840</v>
      </c>
      <c r="L17" s="20" t="n">
        <v>8420</v>
      </c>
      <c r="M17" s="21" t="n">
        <f aca="false">IFERROR((L17/C17)^(1/9)-1,"N/A")</f>
        <v>0.237178224396411</v>
      </c>
    </row>
    <row r="18" customFormat="false" ht="16.5" hidden="false" customHeight="true" outlineLevel="0" collapsed="false">
      <c r="B18" s="18" t="s">
        <v>61</v>
      </c>
      <c r="C18" s="19" t="n">
        <v>12450</v>
      </c>
      <c r="D18" s="20" t="n">
        <v>18240</v>
      </c>
      <c r="E18" s="19" t="n">
        <v>21350</v>
      </c>
      <c r="F18" s="20" t="n">
        <v>24680</v>
      </c>
      <c r="G18" s="19" t="n">
        <v>28450</v>
      </c>
      <c r="H18" s="20" t="n">
        <v>19840</v>
      </c>
      <c r="I18" s="19" t="n">
        <v>22450</v>
      </c>
      <c r="J18" s="20" t="n">
        <v>31680</v>
      </c>
      <c r="K18" s="19" t="n">
        <v>48240</v>
      </c>
      <c r="L18" s="20" t="n">
        <v>56840</v>
      </c>
      <c r="M18" s="21" t="n">
        <f aca="false">IFERROR((L18/C18)^(1/9)-1,"N/A")</f>
        <v>0.18379385094415</v>
      </c>
    </row>
    <row r="19" customFormat="false" ht="16.5" hidden="false" customHeight="true" outlineLevel="0" collapsed="false">
      <c r="B19" s="22" t="s">
        <v>62</v>
      </c>
      <c r="C19" s="23" t="n">
        <f aca="false">C15-C17+C18</f>
        <v>76287</v>
      </c>
      <c r="D19" s="23" t="n">
        <f aca="false">D15-D17+D18</f>
        <v>56255</v>
      </c>
      <c r="E19" s="23" t="n">
        <f aca="false">E15-E17+E18</f>
        <v>58362</v>
      </c>
      <c r="F19" s="23" t="n">
        <f aca="false">F15-F17+F18</f>
        <v>81434</v>
      </c>
      <c r="G19" s="23" t="n">
        <f aca="false">G15-G17+G18</f>
        <v>89903</v>
      </c>
      <c r="H19" s="23" t="n">
        <f aca="false">H15-H17+H18</f>
        <v>54982</v>
      </c>
      <c r="I19" s="23" t="n">
        <f aca="false">I15-I17+I18</f>
        <v>64674</v>
      </c>
      <c r="J19" s="23" t="n">
        <f aca="false">J15-J17+J18</f>
        <v>111017</v>
      </c>
      <c r="K19" s="23" t="n">
        <f aca="false">K15-K17+K18</f>
        <v>168327</v>
      </c>
      <c r="L19" s="23" t="n">
        <f aca="false">L15-L17+L18</f>
        <v>195338</v>
      </c>
      <c r="M19" s="21" t="n">
        <f aca="false">IFERROR((L19/C19)^(1/9)-1,"N/A")</f>
        <v>0.110121947572955</v>
      </c>
    </row>
    <row r="20" customFormat="false" ht="16.5" hidden="false" customHeight="true" outlineLevel="0" collapsed="false">
      <c r="B20" s="18" t="s">
        <v>63</v>
      </c>
      <c r="C20" s="19" t="n">
        <v>24812</v>
      </c>
      <c r="D20" s="20" t="n">
        <v>18203</v>
      </c>
      <c r="E20" s="19" t="n">
        <v>19258</v>
      </c>
      <c r="F20" s="20" t="n">
        <v>26873</v>
      </c>
      <c r="G20" s="19" t="n">
        <v>29668</v>
      </c>
      <c r="H20" s="20" t="n">
        <v>18144</v>
      </c>
      <c r="I20" s="19" t="n">
        <v>21672</v>
      </c>
      <c r="J20" s="20" t="n">
        <v>36636</v>
      </c>
      <c r="K20" s="19" t="n">
        <v>55620</v>
      </c>
      <c r="L20" s="20" t="n">
        <v>64792</v>
      </c>
      <c r="M20" s="21" t="n">
        <f aca="false">IFERROR((L20/C20)^(1/9)-1,"N/A")</f>
        <v>0.112545380580717</v>
      </c>
    </row>
    <row r="21" customFormat="false" ht="16.5" hidden="false" customHeight="true" outlineLevel="0" collapsed="false">
      <c r="B21" s="24" t="s">
        <v>64</v>
      </c>
      <c r="C21" s="25" t="n">
        <f aca="false">C19-C20</f>
        <v>51475</v>
      </c>
      <c r="D21" s="25" t="n">
        <f aca="false">D19-D20</f>
        <v>38052</v>
      </c>
      <c r="E21" s="25" t="n">
        <f aca="false">E19-E20</f>
        <v>39104</v>
      </c>
      <c r="F21" s="25" t="n">
        <f aca="false">F19-F20</f>
        <v>54561</v>
      </c>
      <c r="G21" s="25" t="n">
        <f aca="false">G19-G20</f>
        <v>60235</v>
      </c>
      <c r="H21" s="25" t="n">
        <f aca="false">H19-H20</f>
        <v>36838</v>
      </c>
      <c r="I21" s="25" t="n">
        <f aca="false">I19-I20</f>
        <v>43002</v>
      </c>
      <c r="J21" s="25" t="n">
        <f aca="false">J19-J20</f>
        <v>74381</v>
      </c>
      <c r="K21" s="25" t="n">
        <f aca="false">K19-K20</f>
        <v>112707</v>
      </c>
      <c r="L21" s="25" t="n">
        <f aca="false">L19-L20</f>
        <v>130546</v>
      </c>
      <c r="M21" s="21" t="n">
        <f aca="false">IFERROR((L21/C21)^(1/9)-1,"N/A")</f>
        <v>0.108938517123517</v>
      </c>
    </row>
    <row r="22" customFormat="false" ht="18" hidden="false" customHeight="true" outlineLevel="0" collapsed="false">
      <c r="B22" s="17" t="s">
        <v>65</v>
      </c>
      <c r="C22" s="17"/>
      <c r="D22" s="17"/>
      <c r="E22" s="17"/>
      <c r="F22" s="17"/>
      <c r="G22" s="17"/>
      <c r="H22" s="17"/>
      <c r="I22" s="17"/>
      <c r="J22" s="17"/>
      <c r="K22" s="17"/>
      <c r="L22" s="17"/>
      <c r="M22" s="17"/>
    </row>
    <row r="23" customFormat="false" ht="16.5" hidden="false" customHeight="true" outlineLevel="0" collapsed="false">
      <c r="B23" s="18" t="s">
        <v>66</v>
      </c>
      <c r="C23" s="27" t="n">
        <f aca="false">C21/'DCF Valuation'!$C$10</f>
        <v>11.9686339248865</v>
      </c>
      <c r="D23" s="28" t="n">
        <f aca="false">D21/'DCF Valuation'!$C$10</f>
        <v>8.84760482000547</v>
      </c>
      <c r="E23" s="27" t="n">
        <f aca="false">E21/'DCF Valuation'!$C$10</f>
        <v>9.09220905291427</v>
      </c>
      <c r="F23" s="28" t="n">
        <f aca="false">F21/'DCF Valuation'!$C$10</f>
        <v>12.6861706765562</v>
      </c>
      <c r="G23" s="27" t="n">
        <f aca="false">G21/'DCF Valuation'!$C$10</f>
        <v>14.005452442264</v>
      </c>
      <c r="H23" s="28" t="n">
        <f aca="false">H21/'DCF Valuation'!$C$10</f>
        <v>8.56533339533694</v>
      </c>
      <c r="I23" s="27" t="n">
        <f aca="false">I21/'DCF Valuation'!$C$10</f>
        <v>9.99854679044137</v>
      </c>
      <c r="J23" s="28" t="n">
        <f aca="false">J21/'DCF Valuation'!$C$10</f>
        <v>17.2945888288875</v>
      </c>
      <c r="K23" s="27" t="n">
        <f aca="false">K21/'DCF Valuation'!$C$10</f>
        <v>26.2059023559433</v>
      </c>
      <c r="L23" s="28" t="n">
        <f aca="false">L21/'DCF Valuation'!$C$10</f>
        <v>30.3537112065708</v>
      </c>
      <c r="M23" s="21" t="n">
        <f aca="false">IFERROR((L23/C23)^(1/9)-1,"N/A")</f>
        <v>0.108938517123517</v>
      </c>
    </row>
    <row r="24" customFormat="false" ht="16.5" hidden="false" customHeight="true" outlineLevel="0" collapsed="false">
      <c r="B24" s="18" t="s">
        <v>67</v>
      </c>
      <c r="C24" s="27" t="n">
        <v>5</v>
      </c>
      <c r="D24" s="28" t="n">
        <v>3.75</v>
      </c>
      <c r="E24" s="27" t="n">
        <v>4</v>
      </c>
      <c r="F24" s="28" t="n">
        <v>5.25</v>
      </c>
      <c r="G24" s="27" t="n">
        <v>5.5</v>
      </c>
      <c r="H24" s="28" t="n">
        <v>3</v>
      </c>
      <c r="I24" s="27" t="n">
        <v>4</v>
      </c>
      <c r="J24" s="28" t="n">
        <v>7</v>
      </c>
      <c r="K24" s="27" t="n">
        <v>10</v>
      </c>
      <c r="L24" s="28" t="n">
        <v>12</v>
      </c>
      <c r="M24" s="21" t="n">
        <f aca="false">IFERROR((L24/C24)^(1/9)-1,"N/A")</f>
        <v>0.102162659951995</v>
      </c>
    </row>
    <row r="25" customFormat="false" ht="18" hidden="false" customHeight="true" outlineLevel="0" collapsed="false">
      <c r="B25" s="17" t="s">
        <v>68</v>
      </c>
      <c r="C25" s="17"/>
      <c r="D25" s="17"/>
      <c r="E25" s="17"/>
      <c r="F25" s="17"/>
      <c r="G25" s="17"/>
      <c r="H25" s="17"/>
      <c r="I25" s="17"/>
      <c r="J25" s="17"/>
      <c r="K25" s="17"/>
      <c r="L25" s="17"/>
      <c r="M25" s="17"/>
    </row>
    <row r="26" customFormat="false" ht="16.5" hidden="false" customHeight="true" outlineLevel="0" collapsed="false">
      <c r="B26" s="18" t="s">
        <v>69</v>
      </c>
      <c r="C26" s="29" t="n">
        <f aca="false">C11/C8</f>
        <v>0.595051129252936</v>
      </c>
      <c r="D26" s="30" t="n">
        <f aca="false">D11/D8</f>
        <v>0.528291951881405</v>
      </c>
      <c r="E26" s="29" t="n">
        <f aca="false">E11/E8</f>
        <v>0.51454393199665</v>
      </c>
      <c r="F26" s="30" t="n">
        <f aca="false">F11/F8</f>
        <v>0.546365057650967</v>
      </c>
      <c r="G26" s="29" t="n">
        <f aca="false">G11/G8</f>
        <v>0.540947081323433</v>
      </c>
      <c r="H26" s="30" t="n">
        <f aca="false">H11/H8</f>
        <v>0.478741418463921</v>
      </c>
      <c r="I26" s="29" t="n">
        <f aca="false">I11/I8</f>
        <v>0.487455876430314</v>
      </c>
      <c r="J26" s="30" t="n">
        <f aca="false">J11/J8</f>
        <v>0.531579013205352</v>
      </c>
      <c r="K26" s="29" t="n">
        <f aca="false">K11/K8</f>
        <v>0.551006474183325</v>
      </c>
      <c r="L26" s="30" t="n">
        <f aca="false">L11/L8</f>
        <v>0.555339098482689</v>
      </c>
      <c r="M26" s="31" t="n">
        <f aca="false">IFERROR((L26/C26)^(1/9)-1,"N/A")</f>
        <v>-0.00764489664509849</v>
      </c>
    </row>
    <row r="27" customFormat="false" ht="16.5" hidden="false" customHeight="true" outlineLevel="0" collapsed="false">
      <c r="B27" s="18" t="s">
        <v>70</v>
      </c>
      <c r="C27" s="29" t="n">
        <f aca="false">C14/C8</f>
        <v>0.541619925170377</v>
      </c>
      <c r="D27" s="30" t="n">
        <f aca="false">D14/D8</f>
        <v>0.478715217303252</v>
      </c>
      <c r="E27" s="29" t="n">
        <f aca="false">E14/E8</f>
        <v>0.468407830497227</v>
      </c>
      <c r="F27" s="30" t="n">
        <f aca="false">F14/F8</f>
        <v>0.499645788547977</v>
      </c>
      <c r="G27" s="29" t="n">
        <f aca="false">G14/G8</f>
        <v>0.490294858497555</v>
      </c>
      <c r="H27" s="30" t="n">
        <f aca="false">H14/H8</f>
        <v>0.427285018574185</v>
      </c>
      <c r="I27" s="29" t="n">
        <f aca="false">I14/I8</f>
        <v>0.434626045343631</v>
      </c>
      <c r="J27" s="30" t="n">
        <f aca="false">J14/J8</f>
        <v>0.479666593002456</v>
      </c>
      <c r="K27" s="29" t="n">
        <f aca="false">K14/K8</f>
        <v>0.500131417160362</v>
      </c>
      <c r="L27" s="30" t="n">
        <f aca="false">L14/L8</f>
        <v>0.504577275175014</v>
      </c>
      <c r="M27" s="31" t="n">
        <f aca="false">IFERROR((L27/C27)^(1/9)-1,"N/A")</f>
        <v>-0.00784060202996362</v>
      </c>
    </row>
    <row r="28" customFormat="false" ht="16.5" hidden="false" customHeight="true" outlineLevel="0" collapsed="false">
      <c r="B28" s="18" t="s">
        <v>71</v>
      </c>
      <c r="C28" s="29" t="n">
        <f aca="false">C21/C8</f>
        <v>0.333782916280306</v>
      </c>
      <c r="D28" s="30" t="n">
        <f aca="false">D21/D8</f>
        <v>0.308250637935923</v>
      </c>
      <c r="E28" s="29" t="n">
        <f aca="false">E21/E8</f>
        <v>0.308922279629015</v>
      </c>
      <c r="F28" s="30" t="n">
        <f aca="false">F21/F8</f>
        <v>0.333209155755325</v>
      </c>
      <c r="G28" s="29" t="n">
        <f aca="false">G21/G8</f>
        <v>0.33055651591731</v>
      </c>
      <c r="H28" s="30" t="n">
        <f aca="false">H21/H8</f>
        <v>0.241779446318636</v>
      </c>
      <c r="I28" s="29" t="n">
        <f aca="false">I21/I8</f>
        <v>0.254684797801521</v>
      </c>
      <c r="J28" s="30" t="n">
        <f aca="false">J21/J8</f>
        <v>0.310144395751938</v>
      </c>
      <c r="K28" s="29" t="n">
        <f aca="false">K21/K8</f>
        <v>0.340497330872157</v>
      </c>
      <c r="L28" s="30" t="n">
        <f aca="false">L21/L8</f>
        <v>0.344604939444814</v>
      </c>
      <c r="M28" s="31" t="n">
        <f aca="false">IFERROR((L28/C28)^(1/9)-1,"N/A")</f>
        <v>0.00355160621883899</v>
      </c>
    </row>
  </sheetData>
  <mergeCells count="7">
    <mergeCell ref="B1:M1"/>
    <mergeCell ref="B2:M2"/>
    <mergeCell ref="B5:M5"/>
    <mergeCell ref="B9:M9"/>
    <mergeCell ref="B16:M16"/>
    <mergeCell ref="B22:M22"/>
    <mergeCell ref="B25:M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M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G10" activeCellId="0" sqref="G10"/>
    </sheetView>
  </sheetViews>
  <sheetFormatPr defaultColWidth="8.6796875" defaultRowHeight="15" customHeight="true" zeroHeight="false" outlineLevelRow="0" outlineLevelCol="0"/>
  <cols>
    <col collapsed="false" customWidth="true" hidden="false" outlineLevel="0" max="1" min="1" style="1" width="3"/>
    <col collapsed="false" customWidth="true" hidden="false" outlineLevel="0" max="2" min="2" style="1" width="36"/>
    <col collapsed="false" customWidth="true" hidden="false" outlineLevel="0" max="12" min="3" style="1" width="13"/>
    <col collapsed="false" customWidth="true" hidden="false" outlineLevel="0" max="13" min="13" style="1" width="14"/>
  </cols>
  <sheetData>
    <row r="1" customFormat="false" ht="25.5" hidden="false" customHeight="true" outlineLevel="0" collapsed="false">
      <c r="B1" s="2" t="s">
        <v>72</v>
      </c>
      <c r="C1" s="2"/>
      <c r="D1" s="2"/>
      <c r="E1" s="2"/>
      <c r="F1" s="2"/>
      <c r="G1" s="2"/>
      <c r="H1" s="2"/>
      <c r="I1" s="2"/>
      <c r="J1" s="2"/>
      <c r="K1" s="2"/>
      <c r="L1" s="2"/>
      <c r="M1" s="2"/>
    </row>
    <row r="2" customFormat="false" ht="15" hidden="false" customHeight="true" outlineLevel="0" collapsed="false">
      <c r="B2" s="15" t="s">
        <v>73</v>
      </c>
      <c r="C2" s="15"/>
      <c r="D2" s="15"/>
      <c r="E2" s="15"/>
      <c r="F2" s="15"/>
      <c r="G2" s="15"/>
      <c r="H2" s="15"/>
      <c r="I2" s="15"/>
      <c r="J2" s="15"/>
      <c r="K2" s="15"/>
      <c r="L2" s="15"/>
      <c r="M2" s="15"/>
    </row>
    <row r="4" customFormat="false" ht="19.5" hidden="false" customHeight="true" outlineLevel="0" collapsed="false">
      <c r="B4" s="4" t="s">
        <v>36</v>
      </c>
      <c r="C4" s="5" t="s">
        <v>37</v>
      </c>
      <c r="D4" s="5" t="s">
        <v>38</v>
      </c>
      <c r="E4" s="5" t="s">
        <v>39</v>
      </c>
      <c r="F4" s="5" t="s">
        <v>40</v>
      </c>
      <c r="G4" s="5" t="s">
        <v>41</v>
      </c>
      <c r="H4" s="5" t="s">
        <v>42</v>
      </c>
      <c r="I4" s="5" t="s">
        <v>43</v>
      </c>
      <c r="J4" s="5" t="s">
        <v>44</v>
      </c>
      <c r="K4" s="5" t="s">
        <v>45</v>
      </c>
      <c r="L4" s="5" t="s">
        <v>46</v>
      </c>
      <c r="M4" s="16" t="s">
        <v>47</v>
      </c>
    </row>
    <row r="5" customFormat="false" ht="18" hidden="false" customHeight="true" outlineLevel="0" collapsed="false">
      <c r="B5" s="17" t="s">
        <v>74</v>
      </c>
      <c r="C5" s="17"/>
      <c r="D5" s="17"/>
      <c r="E5" s="17"/>
      <c r="F5" s="17"/>
      <c r="G5" s="17"/>
      <c r="H5" s="17"/>
      <c r="I5" s="17"/>
      <c r="J5" s="17"/>
      <c r="K5" s="17"/>
      <c r="L5" s="17"/>
      <c r="M5" s="17"/>
    </row>
    <row r="6" customFormat="false" ht="16.5" hidden="false" customHeight="true" outlineLevel="0" collapsed="false">
      <c r="B6" s="8" t="s">
        <v>75</v>
      </c>
      <c r="C6" s="26" t="n">
        <v>412580</v>
      </c>
      <c r="D6" s="26" t="n">
        <v>418240</v>
      </c>
      <c r="E6" s="26" t="n">
        <v>435680</v>
      </c>
      <c r="F6" s="26" t="n">
        <v>468420</v>
      </c>
      <c r="G6" s="26" t="n">
        <v>512340</v>
      </c>
      <c r="H6" s="26" t="n">
        <v>489650</v>
      </c>
      <c r="I6" s="26" t="n">
        <v>524380</v>
      </c>
      <c r="J6" s="26" t="n">
        <v>612450</v>
      </c>
      <c r="K6" s="26" t="n">
        <v>748920</v>
      </c>
      <c r="L6" s="26" t="n">
        <v>865430</v>
      </c>
      <c r="M6" s="21" t="n">
        <f aca="false">IFERROR((L6/C6)^(1/9)-1,"N/A")</f>
        <v>0.0857931214151515</v>
      </c>
    </row>
    <row r="7" customFormat="false" ht="16.5" hidden="false" customHeight="true" outlineLevel="0" collapsed="false">
      <c r="B7" s="18" t="s">
        <v>76</v>
      </c>
      <c r="C7" s="19" t="n">
        <v>298450</v>
      </c>
      <c r="D7" s="20" t="n">
        <v>308240</v>
      </c>
      <c r="E7" s="19" t="n">
        <v>318650</v>
      </c>
      <c r="F7" s="20" t="n">
        <v>342380</v>
      </c>
      <c r="G7" s="19" t="n">
        <v>372450</v>
      </c>
      <c r="H7" s="20" t="n">
        <v>358240</v>
      </c>
      <c r="I7" s="19" t="n">
        <v>389650</v>
      </c>
      <c r="J7" s="20" t="n">
        <v>462380</v>
      </c>
      <c r="K7" s="19" t="n">
        <v>548920</v>
      </c>
      <c r="L7" s="20" t="n">
        <v>632450</v>
      </c>
      <c r="M7" s="21" t="n">
        <f aca="false">IFERROR((L7/C7)^(1/9)-1,"N/A")</f>
        <v>0.087024672550337</v>
      </c>
    </row>
    <row r="8" customFormat="false" ht="16.5" hidden="false" customHeight="true" outlineLevel="0" collapsed="false">
      <c r="B8" s="18" t="s">
        <v>77</v>
      </c>
      <c r="C8" s="19" t="n">
        <f aca="false">C6-C7</f>
        <v>114130</v>
      </c>
      <c r="D8" s="20" t="n">
        <f aca="false">D6-D7</f>
        <v>110000</v>
      </c>
      <c r="E8" s="19" t="n">
        <f aca="false">E6-E7</f>
        <v>117030</v>
      </c>
      <c r="F8" s="20" t="n">
        <f aca="false">F6-F7</f>
        <v>126040</v>
      </c>
      <c r="G8" s="19" t="n">
        <f aca="false">G6-G7</f>
        <v>139890</v>
      </c>
      <c r="H8" s="20" t="n">
        <f aca="false">H6-H7</f>
        <v>131410</v>
      </c>
      <c r="I8" s="19" t="n">
        <f aca="false">I6-I7</f>
        <v>134730</v>
      </c>
      <c r="J8" s="20" t="n">
        <f aca="false">J6-J7</f>
        <v>150070</v>
      </c>
      <c r="K8" s="19" t="n">
        <f aca="false">K6-K7</f>
        <v>200000</v>
      </c>
      <c r="L8" s="20" t="n">
        <f aca="false">L6-L7</f>
        <v>232980</v>
      </c>
      <c r="M8" s="21" t="n">
        <f aca="false">IFERROR((L8/C8)^(1/9)-1,"N/A")</f>
        <v>0.0825187436925383</v>
      </c>
    </row>
    <row r="9" customFormat="false" ht="16.5" hidden="false" customHeight="true" outlineLevel="0" collapsed="false">
      <c r="B9" s="18" t="s">
        <v>78</v>
      </c>
      <c r="C9" s="19" t="n">
        <v>42380</v>
      </c>
      <c r="D9" s="20" t="n">
        <v>38240</v>
      </c>
      <c r="E9" s="19" t="n">
        <v>45680</v>
      </c>
      <c r="F9" s="20" t="n">
        <v>52340</v>
      </c>
      <c r="G9" s="19" t="n">
        <v>61250</v>
      </c>
      <c r="H9" s="20" t="n">
        <v>48920</v>
      </c>
      <c r="I9" s="19" t="n">
        <v>55840</v>
      </c>
      <c r="J9" s="20" t="n">
        <v>68420</v>
      </c>
      <c r="K9" s="19" t="n">
        <v>92450</v>
      </c>
      <c r="L9" s="20" t="n">
        <v>118640</v>
      </c>
      <c r="M9" s="21" t="n">
        <f aca="false">IFERROR((L9/C9)^(1/9)-1,"N/A")</f>
        <v>0.121177735956309</v>
      </c>
    </row>
    <row r="10" customFormat="false" ht="16.5" hidden="false" customHeight="true" outlineLevel="0" collapsed="false">
      <c r="B10" s="18" t="s">
        <v>79</v>
      </c>
      <c r="C10" s="19" t="n">
        <v>48250</v>
      </c>
      <c r="D10" s="20" t="n">
        <v>52180</v>
      </c>
      <c r="E10" s="19" t="n">
        <v>54320</v>
      </c>
      <c r="F10" s="20" t="n">
        <v>58640</v>
      </c>
      <c r="G10" s="19" t="n">
        <v>62840</v>
      </c>
      <c r="H10" s="20" t="n">
        <v>65420</v>
      </c>
      <c r="I10" s="19" t="n">
        <v>72840</v>
      </c>
      <c r="J10" s="20" t="n">
        <v>86420</v>
      </c>
      <c r="K10" s="19" t="n">
        <v>108640</v>
      </c>
      <c r="L10" s="20" t="n">
        <v>124380</v>
      </c>
      <c r="M10" s="21" t="n">
        <f aca="false">IFERROR((L10/C10)^(1/9)-1,"N/A")</f>
        <v>0.110950743298869</v>
      </c>
    </row>
    <row r="11" customFormat="false" ht="18" hidden="false" customHeight="true" outlineLevel="0" collapsed="false">
      <c r="B11" s="17" t="s">
        <v>80</v>
      </c>
      <c r="C11" s="17"/>
      <c r="D11" s="17"/>
      <c r="E11" s="17"/>
      <c r="F11" s="17"/>
      <c r="G11" s="17"/>
      <c r="H11" s="17"/>
      <c r="I11" s="17"/>
      <c r="J11" s="17"/>
      <c r="K11" s="17"/>
      <c r="L11" s="17"/>
      <c r="M11" s="17"/>
    </row>
    <row r="12" customFormat="false" ht="16.5" hidden="false" customHeight="true" outlineLevel="0" collapsed="false">
      <c r="B12" s="24" t="s">
        <v>81</v>
      </c>
      <c r="C12" s="25" t="n">
        <v>268450</v>
      </c>
      <c r="D12" s="25" t="n">
        <v>276240</v>
      </c>
      <c r="E12" s="25" t="n">
        <v>285680</v>
      </c>
      <c r="F12" s="25" t="n">
        <v>312420</v>
      </c>
      <c r="G12" s="25" t="n">
        <v>348640</v>
      </c>
      <c r="H12" s="25" t="n">
        <v>318420</v>
      </c>
      <c r="I12" s="25" t="n">
        <v>344680</v>
      </c>
      <c r="J12" s="25" t="n">
        <v>392450</v>
      </c>
      <c r="K12" s="25" t="n">
        <v>472840</v>
      </c>
      <c r="L12" s="25" t="n">
        <v>568420</v>
      </c>
      <c r="M12" s="21" t="n">
        <f aca="false">IFERROR((L12/C12)^(1/9)-1,"N/A")</f>
        <v>0.0869277086877243</v>
      </c>
    </row>
    <row r="13" customFormat="false" ht="16.5" hidden="false" customHeight="true" outlineLevel="0" collapsed="false">
      <c r="B13" s="18" t="s">
        <v>82</v>
      </c>
      <c r="C13" s="19" t="n">
        <v>43008</v>
      </c>
      <c r="D13" s="20" t="n">
        <v>43008</v>
      </c>
      <c r="E13" s="19" t="n">
        <v>43008</v>
      </c>
      <c r="F13" s="20" t="n">
        <v>43008</v>
      </c>
      <c r="G13" s="19" t="n">
        <v>43008</v>
      </c>
      <c r="H13" s="20" t="n">
        <v>43008</v>
      </c>
      <c r="I13" s="19" t="n">
        <v>43008</v>
      </c>
      <c r="J13" s="20" t="n">
        <v>43008</v>
      </c>
      <c r="K13" s="19" t="n">
        <v>43008</v>
      </c>
      <c r="L13" s="20" t="n">
        <v>43008</v>
      </c>
      <c r="M13" s="32" t="n">
        <f aca="false">IFERROR((L13/C13)^(1/9)-1,"N/A")</f>
        <v>0</v>
      </c>
    </row>
    <row r="14" customFormat="false" ht="16.5" hidden="false" customHeight="true" outlineLevel="0" collapsed="false">
      <c r="B14" s="18" t="s">
        <v>83</v>
      </c>
      <c r="C14" s="19" t="n">
        <f aca="false">C12-C13</f>
        <v>225442</v>
      </c>
      <c r="D14" s="20" t="n">
        <f aca="false">D12-D13</f>
        <v>233232</v>
      </c>
      <c r="E14" s="19" t="n">
        <f aca="false">E12-E13</f>
        <v>242672</v>
      </c>
      <c r="F14" s="20" t="n">
        <f aca="false">F12-F13</f>
        <v>269412</v>
      </c>
      <c r="G14" s="19" t="n">
        <f aca="false">G12-G13</f>
        <v>305632</v>
      </c>
      <c r="H14" s="20" t="n">
        <f aca="false">H12-H13</f>
        <v>275412</v>
      </c>
      <c r="I14" s="19" t="n">
        <f aca="false">I12-I13</f>
        <v>301672</v>
      </c>
      <c r="J14" s="20" t="n">
        <f aca="false">J12-J13</f>
        <v>349442</v>
      </c>
      <c r="K14" s="19" t="n">
        <f aca="false">K12-K13</f>
        <v>429832</v>
      </c>
      <c r="L14" s="20" t="n">
        <f aca="false">L12-L13</f>
        <v>525412</v>
      </c>
      <c r="M14" s="21" t="n">
        <f aca="false">IFERROR((L14/C14)^(1/9)-1,"N/A")</f>
        <v>0.0985743687089915</v>
      </c>
    </row>
    <row r="15" customFormat="false" ht="18" hidden="false" customHeight="true" outlineLevel="0" collapsed="false">
      <c r="B15" s="17" t="s">
        <v>84</v>
      </c>
      <c r="C15" s="17"/>
      <c r="D15" s="17"/>
      <c r="E15" s="17"/>
      <c r="F15" s="17"/>
      <c r="G15" s="17"/>
      <c r="H15" s="17"/>
      <c r="I15" s="17"/>
      <c r="J15" s="17"/>
      <c r="K15" s="17"/>
      <c r="L15" s="17"/>
      <c r="M15" s="17"/>
    </row>
    <row r="16" customFormat="false" ht="16.5" hidden="false" customHeight="true" outlineLevel="0" collapsed="false">
      <c r="B16" s="33" t="s">
        <v>85</v>
      </c>
      <c r="C16" s="34" t="n">
        <f aca="false">C6-C12</f>
        <v>144130</v>
      </c>
      <c r="D16" s="34" t="n">
        <f aca="false">D6-D12</f>
        <v>142000</v>
      </c>
      <c r="E16" s="34" t="n">
        <f aca="false">E6-E12</f>
        <v>150000</v>
      </c>
      <c r="F16" s="34" t="n">
        <f aca="false">F6-F12</f>
        <v>156000</v>
      </c>
      <c r="G16" s="34" t="n">
        <f aca="false">G6-G12</f>
        <v>163700</v>
      </c>
      <c r="H16" s="34" t="n">
        <f aca="false">H6-H12</f>
        <v>171230</v>
      </c>
      <c r="I16" s="34" t="n">
        <f aca="false">I6-I12</f>
        <v>179700</v>
      </c>
      <c r="J16" s="34" t="n">
        <f aca="false">J6-J12</f>
        <v>220000</v>
      </c>
      <c r="K16" s="34" t="n">
        <f aca="false">K6-K12</f>
        <v>276080</v>
      </c>
      <c r="L16" s="34" t="n">
        <f aca="false">L6-L12</f>
        <v>297010</v>
      </c>
      <c r="M16" s="21" t="n">
        <f aca="false">IFERROR((L16/C16)^(1/9)-1,"N/A")</f>
        <v>0.0836542604751644</v>
      </c>
    </row>
    <row r="17" customFormat="false" ht="16.5" hidden="false" customHeight="true" outlineLevel="0" collapsed="false">
      <c r="B17" s="18" t="s">
        <v>86</v>
      </c>
      <c r="C17" s="19" t="n">
        <v>68420</v>
      </c>
      <c r="D17" s="20" t="n">
        <v>72380</v>
      </c>
      <c r="E17" s="19" t="n">
        <v>78240</v>
      </c>
      <c r="F17" s="20" t="n">
        <v>82640</v>
      </c>
      <c r="G17" s="19" t="n">
        <v>88420</v>
      </c>
      <c r="H17" s="20" t="n">
        <v>92840</v>
      </c>
      <c r="I17" s="19" t="n">
        <v>98420</v>
      </c>
      <c r="J17" s="20" t="n">
        <v>118640</v>
      </c>
      <c r="K17" s="19" t="n">
        <v>142380</v>
      </c>
      <c r="L17" s="20" t="n">
        <v>158420</v>
      </c>
      <c r="M17" s="21" t="n">
        <f aca="false">IFERROR((L17/C17)^(1/9)-1,"N/A")</f>
        <v>0.0977769415976721</v>
      </c>
    </row>
    <row r="18" customFormat="false" ht="16.5" hidden="false" customHeight="true" outlineLevel="0" collapsed="false">
      <c r="B18" s="18" t="s">
        <v>87</v>
      </c>
      <c r="C18" s="19" t="n">
        <f aca="false">C16-C17</f>
        <v>75710</v>
      </c>
      <c r="D18" s="20" t="n">
        <f aca="false">D16-D17</f>
        <v>69620</v>
      </c>
      <c r="E18" s="19" t="n">
        <f aca="false">E16-E17</f>
        <v>71760</v>
      </c>
      <c r="F18" s="20" t="n">
        <f aca="false">F16-F17</f>
        <v>73360</v>
      </c>
      <c r="G18" s="19" t="n">
        <f aca="false">G16-G17</f>
        <v>75280</v>
      </c>
      <c r="H18" s="20" t="n">
        <f aca="false">H16-H17</f>
        <v>78390</v>
      </c>
      <c r="I18" s="19" t="n">
        <f aca="false">I16-I17</f>
        <v>81280</v>
      </c>
      <c r="J18" s="20" t="n">
        <f aca="false">J16-J17</f>
        <v>101360</v>
      </c>
      <c r="K18" s="19" t="n">
        <f aca="false">K16-K17</f>
        <v>133700</v>
      </c>
      <c r="L18" s="20" t="n">
        <f aca="false">L16-L17</f>
        <v>138590</v>
      </c>
      <c r="M18" s="21" t="n">
        <f aca="false">IFERROR((L18/C18)^(1/9)-1,"N/A")</f>
        <v>0.0694867425723604</v>
      </c>
    </row>
    <row r="19" customFormat="false" ht="16.5" hidden="false" customHeight="true" outlineLevel="0" collapsed="false">
      <c r="B19" s="18" t="s">
        <v>88</v>
      </c>
      <c r="C19" s="19" t="n">
        <v>18420</v>
      </c>
      <c r="D19" s="20" t="n">
        <v>22640</v>
      </c>
      <c r="E19" s="19" t="n">
        <v>28450</v>
      </c>
      <c r="F19" s="20" t="n">
        <v>34680</v>
      </c>
      <c r="G19" s="19" t="n">
        <v>42450</v>
      </c>
      <c r="H19" s="20" t="n">
        <v>48240</v>
      </c>
      <c r="I19" s="19" t="n">
        <v>52680</v>
      </c>
      <c r="J19" s="20" t="n">
        <v>68420</v>
      </c>
      <c r="K19" s="19" t="n">
        <v>86450</v>
      </c>
      <c r="L19" s="20" t="n">
        <v>98240</v>
      </c>
      <c r="M19" s="21" t="n">
        <f aca="false">IFERROR((L19/C19)^(1/9)-1,"N/A")</f>
        <v>0.204419106611661</v>
      </c>
    </row>
    <row r="20" customFormat="false" ht="18" hidden="false" customHeight="true" outlineLevel="0" collapsed="false">
      <c r="B20" s="17" t="s">
        <v>89</v>
      </c>
      <c r="C20" s="17"/>
      <c r="D20" s="17"/>
      <c r="E20" s="17"/>
      <c r="F20" s="17"/>
      <c r="G20" s="17"/>
      <c r="H20" s="17"/>
      <c r="I20" s="17"/>
      <c r="J20" s="17"/>
      <c r="K20" s="17"/>
      <c r="L20" s="17"/>
      <c r="M20" s="17"/>
    </row>
    <row r="21" customFormat="false" ht="16.5" hidden="false" customHeight="true" outlineLevel="0" collapsed="false">
      <c r="B21" s="6" t="s">
        <v>90</v>
      </c>
      <c r="C21" s="35" t="n">
        <f aca="false">C6-C12-C16</f>
        <v>0</v>
      </c>
      <c r="D21" s="35" t="n">
        <f aca="false">D6-D12-D16</f>
        <v>0</v>
      </c>
      <c r="E21" s="35" t="n">
        <f aca="false">E6-E12-E16</f>
        <v>0</v>
      </c>
      <c r="F21" s="35" t="n">
        <f aca="false">F6-F12-F16</f>
        <v>0</v>
      </c>
      <c r="G21" s="35" t="n">
        <f aca="false">G6-G12-G16</f>
        <v>0</v>
      </c>
      <c r="H21" s="35" t="n">
        <f aca="false">H6-H12-H16</f>
        <v>0</v>
      </c>
      <c r="I21" s="35" t="n">
        <f aca="false">I6-I12-I16</f>
        <v>0</v>
      </c>
      <c r="J21" s="35" t="n">
        <f aca="false">J6-J12-J16</f>
        <v>0</v>
      </c>
      <c r="K21" s="35" t="n">
        <f aca="false">K6-K12-K16</f>
        <v>0</v>
      </c>
      <c r="L21" s="35" t="n">
        <f aca="false">L6-L12-L16</f>
        <v>0</v>
      </c>
      <c r="M21" s="31"/>
    </row>
  </sheetData>
  <mergeCells count="6">
    <mergeCell ref="B1:M1"/>
    <mergeCell ref="B2:M2"/>
    <mergeCell ref="B5:M5"/>
    <mergeCell ref="B11:M11"/>
    <mergeCell ref="B15:M15"/>
    <mergeCell ref="B20:M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M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K9" activeCellId="0" sqref="K9"/>
    </sheetView>
  </sheetViews>
  <sheetFormatPr defaultColWidth="8.6796875" defaultRowHeight="15" customHeight="true" zeroHeight="false" outlineLevelRow="0" outlineLevelCol="0"/>
  <cols>
    <col collapsed="false" customWidth="true" hidden="false" outlineLevel="0" max="1" min="1" style="1" width="3"/>
    <col collapsed="false" customWidth="true" hidden="false" outlineLevel="0" max="2" min="2" style="1" width="36"/>
    <col collapsed="false" customWidth="true" hidden="false" outlineLevel="0" max="12" min="3" style="1" width="13"/>
    <col collapsed="false" customWidth="true" hidden="false" outlineLevel="0" max="13" min="13" style="1" width="14"/>
  </cols>
  <sheetData>
    <row r="1" customFormat="false" ht="25.5" hidden="false" customHeight="true" outlineLevel="0" collapsed="false">
      <c r="B1" s="2" t="s">
        <v>91</v>
      </c>
      <c r="C1" s="2"/>
      <c r="D1" s="2"/>
      <c r="E1" s="2"/>
      <c r="F1" s="2"/>
      <c r="G1" s="2"/>
      <c r="H1" s="2"/>
      <c r="I1" s="2"/>
      <c r="J1" s="2"/>
      <c r="K1" s="2"/>
      <c r="L1" s="2"/>
      <c r="M1" s="2"/>
    </row>
    <row r="2" customFormat="false" ht="15" hidden="false" customHeight="true" outlineLevel="0" collapsed="false">
      <c r="B2" s="15" t="s">
        <v>92</v>
      </c>
      <c r="C2" s="15"/>
      <c r="D2" s="15"/>
      <c r="E2" s="15"/>
      <c r="F2" s="15"/>
      <c r="G2" s="15"/>
      <c r="H2" s="15"/>
      <c r="I2" s="15"/>
      <c r="J2" s="15"/>
      <c r="K2" s="15"/>
      <c r="L2" s="15"/>
      <c r="M2" s="15"/>
    </row>
    <row r="4" customFormat="false" ht="19.5" hidden="false" customHeight="true" outlineLevel="0" collapsed="false">
      <c r="B4" s="4" t="s">
        <v>36</v>
      </c>
      <c r="C4" s="5" t="s">
        <v>37</v>
      </c>
      <c r="D4" s="5" t="s">
        <v>38</v>
      </c>
      <c r="E4" s="5" t="s">
        <v>39</v>
      </c>
      <c r="F4" s="5" t="s">
        <v>40</v>
      </c>
      <c r="G4" s="5" t="s">
        <v>41</v>
      </c>
      <c r="H4" s="5" t="s">
        <v>42</v>
      </c>
      <c r="I4" s="5" t="s">
        <v>43</v>
      </c>
      <c r="J4" s="5" t="s">
        <v>44</v>
      </c>
      <c r="K4" s="5" t="s">
        <v>45</v>
      </c>
      <c r="L4" s="5" t="s">
        <v>46</v>
      </c>
      <c r="M4" s="16" t="s">
        <v>47</v>
      </c>
    </row>
    <row r="5" customFormat="false" ht="18" hidden="false" customHeight="true" outlineLevel="0" collapsed="false">
      <c r="B5" s="17" t="s">
        <v>93</v>
      </c>
      <c r="C5" s="17"/>
      <c r="D5" s="17"/>
      <c r="E5" s="17"/>
      <c r="F5" s="17"/>
      <c r="G5" s="17"/>
      <c r="H5" s="17"/>
      <c r="I5" s="17"/>
      <c r="J5" s="17"/>
      <c r="K5" s="17"/>
      <c r="L5" s="17"/>
      <c r="M5" s="17"/>
    </row>
    <row r="6" customFormat="false" ht="16.5" hidden="false" customHeight="true" outlineLevel="0" collapsed="false">
      <c r="B6" s="24" t="s">
        <v>94</v>
      </c>
      <c r="C6" s="25" t="n">
        <v>84250</v>
      </c>
      <c r="D6" s="25" t="n">
        <v>62480</v>
      </c>
      <c r="E6" s="25" t="n">
        <v>68420</v>
      </c>
      <c r="F6" s="25" t="n">
        <v>88640</v>
      </c>
      <c r="G6" s="25" t="n">
        <v>96450</v>
      </c>
      <c r="H6" s="25" t="n">
        <v>71240</v>
      </c>
      <c r="I6" s="25" t="n">
        <v>82450</v>
      </c>
      <c r="J6" s="25" t="n">
        <v>118640</v>
      </c>
      <c r="K6" s="25" t="n">
        <v>158420</v>
      </c>
      <c r="L6" s="25" t="n">
        <v>184560</v>
      </c>
      <c r="M6" s="21" t="n">
        <f aca="false">IFERROR((L6/C6)^(1/9)-1,"N/A")</f>
        <v>0.0910404505415667</v>
      </c>
    </row>
    <row r="7" customFormat="false" ht="18" hidden="false" customHeight="true" outlineLevel="0" collapsed="false">
      <c r="B7" s="17" t="s">
        <v>95</v>
      </c>
      <c r="C7" s="17"/>
      <c r="D7" s="17"/>
      <c r="E7" s="17"/>
      <c r="F7" s="17"/>
      <c r="G7" s="17"/>
      <c r="H7" s="17"/>
      <c r="I7" s="17"/>
      <c r="J7" s="17"/>
      <c r="K7" s="17"/>
      <c r="L7" s="17"/>
      <c r="M7" s="17"/>
    </row>
    <row r="8" customFormat="false" ht="16.5" hidden="false" customHeight="true" outlineLevel="0" collapsed="false">
      <c r="B8" s="18" t="s">
        <v>96</v>
      </c>
      <c r="C8" s="36" t="n">
        <v>-52480</v>
      </c>
      <c r="D8" s="37" t="n">
        <v>-48240</v>
      </c>
      <c r="E8" s="36" t="n">
        <v>-54680</v>
      </c>
      <c r="F8" s="37" t="n">
        <v>-62450</v>
      </c>
      <c r="G8" s="36" t="n">
        <v>-71240</v>
      </c>
      <c r="H8" s="37" t="n">
        <v>-58420</v>
      </c>
      <c r="I8" s="36" t="n">
        <v>-64850</v>
      </c>
      <c r="J8" s="37" t="n">
        <v>-82450</v>
      </c>
      <c r="K8" s="36" t="n">
        <v>-108640</v>
      </c>
      <c r="L8" s="37" t="n">
        <v>-124380</v>
      </c>
      <c r="M8" s="21" t="n">
        <f aca="false">IFERROR((L8/C8)^(1/9)-1,"N/A")</f>
        <v>0.100625666321623</v>
      </c>
    </row>
    <row r="9" customFormat="false" ht="16.5" hidden="false" customHeight="true" outlineLevel="0" collapsed="false">
      <c r="B9" s="18" t="s">
        <v>97</v>
      </c>
      <c r="C9" s="19" t="n">
        <v>48250</v>
      </c>
      <c r="D9" s="20" t="n">
        <v>44680</v>
      </c>
      <c r="E9" s="19" t="n">
        <v>50420</v>
      </c>
      <c r="F9" s="20" t="n">
        <v>58640</v>
      </c>
      <c r="G9" s="19" t="n">
        <v>66450</v>
      </c>
      <c r="H9" s="20" t="n">
        <v>54240</v>
      </c>
      <c r="I9" s="19" t="n">
        <v>60840</v>
      </c>
      <c r="J9" s="20" t="n">
        <v>78420</v>
      </c>
      <c r="K9" s="19" t="n">
        <v>102450</v>
      </c>
      <c r="L9" s="20" t="n">
        <v>118640</v>
      </c>
      <c r="M9" s="21" t="n">
        <f aca="false">IFERROR((L9/C9)^(1/9)-1,"N/A")</f>
        <v>0.105133818116141</v>
      </c>
    </row>
    <row r="10" customFormat="false" ht="18" hidden="false" customHeight="true" outlineLevel="0" collapsed="false">
      <c r="B10" s="17" t="s">
        <v>98</v>
      </c>
      <c r="C10" s="17"/>
      <c r="D10" s="17"/>
      <c r="E10" s="17"/>
      <c r="F10" s="17"/>
      <c r="G10" s="17"/>
      <c r="H10" s="17"/>
      <c r="I10" s="17"/>
      <c r="J10" s="17"/>
      <c r="K10" s="17"/>
      <c r="L10" s="17"/>
      <c r="M10" s="17"/>
    </row>
    <row r="11" customFormat="false" ht="16.5" hidden="false" customHeight="true" outlineLevel="0" collapsed="false">
      <c r="B11" s="18" t="s">
        <v>99</v>
      </c>
      <c r="C11" s="36" t="n">
        <v>-24680</v>
      </c>
      <c r="D11" s="37" t="n">
        <v>-18420</v>
      </c>
      <c r="E11" s="36" t="n">
        <v>-20640</v>
      </c>
      <c r="F11" s="37" t="n">
        <v>-24380</v>
      </c>
      <c r="G11" s="36" t="n">
        <v>-28640</v>
      </c>
      <c r="H11" s="37" t="n">
        <v>-18420</v>
      </c>
      <c r="I11" s="36" t="n">
        <v>-22640</v>
      </c>
      <c r="J11" s="37" t="n">
        <v>-38420</v>
      </c>
      <c r="K11" s="36" t="n">
        <v>-52480</v>
      </c>
      <c r="L11" s="37" t="n">
        <v>-64380</v>
      </c>
      <c r="M11" s="21" t="n">
        <f aca="false">IFERROR((L11/C11)^(1/9)-1,"N/A")</f>
        <v>0.11241622094156</v>
      </c>
    </row>
    <row r="12" customFormat="false" ht="16.5" hidden="false" customHeight="true" outlineLevel="0" collapsed="false">
      <c r="B12" s="18" t="s">
        <v>100</v>
      </c>
      <c r="C12" s="19" t="n">
        <f aca="false">'Income Statement'!C24*'DCF Valuation'!$C$10</f>
        <v>21504.125</v>
      </c>
      <c r="D12" s="20" t="n">
        <f aca="false">'Income Statement'!D24*'DCF Valuation'!$C$10</f>
        <v>16128.09375</v>
      </c>
      <c r="E12" s="19" t="n">
        <f aca="false">'Income Statement'!E24*'DCF Valuation'!$C$10</f>
        <v>17203.3</v>
      </c>
      <c r="F12" s="20" t="n">
        <f aca="false">'Income Statement'!F24*'DCF Valuation'!$C$10</f>
        <v>22579.33125</v>
      </c>
      <c r="G12" s="19" t="n">
        <f aca="false">'Income Statement'!G24*'DCF Valuation'!$C$10</f>
        <v>23654.5375</v>
      </c>
      <c r="H12" s="20" t="n">
        <f aca="false">'Income Statement'!H24*'DCF Valuation'!$C$10</f>
        <v>12902.475</v>
      </c>
      <c r="I12" s="19" t="n">
        <f aca="false">'Income Statement'!I24*'DCF Valuation'!$C$10</f>
        <v>17203.3</v>
      </c>
      <c r="J12" s="20" t="n">
        <f aca="false">'Income Statement'!J24*'DCF Valuation'!$C$10</f>
        <v>30105.775</v>
      </c>
      <c r="K12" s="19" t="n">
        <f aca="false">'Income Statement'!K24*'DCF Valuation'!$C$10</f>
        <v>43008.25</v>
      </c>
      <c r="L12" s="20" t="n">
        <f aca="false">'Income Statement'!L24*'DCF Valuation'!$C$10</f>
        <v>51609.9</v>
      </c>
      <c r="M12" s="21" t="n">
        <f aca="false">IFERROR((L12/C12)^(1/9)-1,"N/A")</f>
        <v>0.102162659951995</v>
      </c>
    </row>
    <row r="13" customFormat="false" ht="18" hidden="false" customHeight="true" outlineLevel="0" collapsed="false">
      <c r="B13" s="17" t="s">
        <v>101</v>
      </c>
      <c r="C13" s="17"/>
      <c r="D13" s="17"/>
      <c r="E13" s="17"/>
      <c r="F13" s="17"/>
      <c r="G13" s="17"/>
      <c r="H13" s="17"/>
      <c r="I13" s="17"/>
      <c r="J13" s="17"/>
      <c r="K13" s="17"/>
      <c r="L13" s="17"/>
      <c r="M13" s="17"/>
    </row>
    <row r="14" customFormat="false" ht="16.5" hidden="false" customHeight="true" outlineLevel="0" collapsed="false">
      <c r="B14" s="24" t="s">
        <v>102</v>
      </c>
      <c r="C14" s="25" t="n">
        <f aca="false">C6-C9</f>
        <v>36000</v>
      </c>
      <c r="D14" s="25" t="n">
        <f aca="false">D6-D9</f>
        <v>17800</v>
      </c>
      <c r="E14" s="25" t="n">
        <f aca="false">E6-E9</f>
        <v>18000</v>
      </c>
      <c r="F14" s="25" t="n">
        <f aca="false">F6-F9</f>
        <v>30000</v>
      </c>
      <c r="G14" s="25" t="n">
        <f aca="false">G6-G9</f>
        <v>30000</v>
      </c>
      <c r="H14" s="25" t="n">
        <f aca="false">H6-H9</f>
        <v>17000</v>
      </c>
      <c r="I14" s="25" t="n">
        <f aca="false">I6-I9</f>
        <v>21610</v>
      </c>
      <c r="J14" s="25" t="n">
        <f aca="false">J6-J9</f>
        <v>40220</v>
      </c>
      <c r="K14" s="25" t="n">
        <f aca="false">K6-K9</f>
        <v>55970</v>
      </c>
      <c r="L14" s="25" t="n">
        <f aca="false">L6-L9</f>
        <v>65920</v>
      </c>
      <c r="M14" s="21" t="n">
        <f aca="false">IFERROR((L14/C14)^(1/9)-1,"N/A")</f>
        <v>0.0695239691042888</v>
      </c>
    </row>
  </sheetData>
  <mergeCells count="6">
    <mergeCell ref="B1:M1"/>
    <mergeCell ref="B2:M2"/>
    <mergeCell ref="B5:M5"/>
    <mergeCell ref="B7:M7"/>
    <mergeCell ref="B10:M10"/>
    <mergeCell ref="B13:M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N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8" activePane="bottomRight" state="frozen"/>
      <selection pane="topLeft" activeCell="A1" activeCellId="0" sqref="A1"/>
      <selection pane="topRight" activeCell="C1" activeCellId="0" sqref="C1"/>
      <selection pane="bottomLeft" activeCell="A8" activeCellId="0" sqref="A8"/>
      <selection pane="bottomRight" activeCell="F9" activeCellId="0" sqref="F9"/>
    </sheetView>
  </sheetViews>
  <sheetFormatPr defaultColWidth="8.6796875" defaultRowHeight="15" customHeight="true" zeroHeight="false" outlineLevelRow="0" outlineLevelCol="0"/>
  <cols>
    <col collapsed="false" customWidth="true" hidden="false" outlineLevel="0" max="1" min="1" style="1" width="3"/>
    <col collapsed="false" customWidth="true" hidden="false" outlineLevel="0" max="2" min="2" style="1" width="38"/>
    <col collapsed="false" customWidth="true" hidden="false" outlineLevel="0" max="3" min="3" style="1" width="13"/>
    <col collapsed="false" customWidth="true" hidden="false" outlineLevel="0" max="13" min="4" style="1" width="12"/>
    <col collapsed="false" customWidth="true" hidden="false" outlineLevel="0" max="14" min="14" style="1" width="16"/>
  </cols>
  <sheetData>
    <row r="1" customFormat="false" ht="25.5" hidden="false" customHeight="true" outlineLevel="0" collapsed="false">
      <c r="B1" s="2" t="s">
        <v>103</v>
      </c>
      <c r="C1" s="2"/>
      <c r="D1" s="2"/>
      <c r="E1" s="2"/>
      <c r="F1" s="2"/>
      <c r="G1" s="2"/>
      <c r="H1" s="2"/>
      <c r="I1" s="2"/>
      <c r="J1" s="2"/>
      <c r="K1" s="2"/>
      <c r="L1" s="2"/>
      <c r="M1" s="2"/>
      <c r="N1" s="2"/>
    </row>
    <row r="2" customFormat="false" ht="15" hidden="false" customHeight="true" outlineLevel="0" collapsed="false">
      <c r="B2" s="15" t="s">
        <v>104</v>
      </c>
      <c r="C2" s="15"/>
      <c r="D2" s="15"/>
      <c r="E2" s="15"/>
      <c r="F2" s="15"/>
      <c r="G2" s="15"/>
      <c r="H2" s="15"/>
      <c r="I2" s="15"/>
      <c r="J2" s="15"/>
      <c r="K2" s="15"/>
      <c r="L2" s="15"/>
      <c r="M2" s="15"/>
      <c r="N2" s="15"/>
    </row>
    <row r="4" customFormat="false" ht="19.5" hidden="false" customHeight="true" outlineLevel="0" collapsed="false">
      <c r="B4" s="4" t="s">
        <v>105</v>
      </c>
      <c r="C4" s="5" t="s">
        <v>106</v>
      </c>
      <c r="D4" s="5" t="s">
        <v>37</v>
      </c>
      <c r="E4" s="5" t="s">
        <v>38</v>
      </c>
      <c r="F4" s="5" t="s">
        <v>39</v>
      </c>
      <c r="G4" s="5" t="s">
        <v>40</v>
      </c>
      <c r="H4" s="5" t="s">
        <v>41</v>
      </c>
      <c r="I4" s="5" t="s">
        <v>42</v>
      </c>
      <c r="J4" s="5" t="s">
        <v>43</v>
      </c>
      <c r="K4" s="5" t="s">
        <v>44</v>
      </c>
      <c r="L4" s="5" t="s">
        <v>45</v>
      </c>
      <c r="M4" s="5" t="s">
        <v>46</v>
      </c>
      <c r="N4" s="16" t="s">
        <v>107</v>
      </c>
    </row>
    <row r="5" customFormat="false" ht="18" hidden="false" customHeight="true" outlineLevel="0" collapsed="false">
      <c r="B5" s="17" t="s">
        <v>108</v>
      </c>
      <c r="C5" s="17"/>
      <c r="D5" s="17"/>
      <c r="E5" s="17"/>
      <c r="F5" s="17"/>
      <c r="G5" s="17"/>
      <c r="H5" s="17"/>
      <c r="I5" s="17"/>
      <c r="J5" s="17"/>
      <c r="K5" s="17"/>
      <c r="L5" s="17"/>
      <c r="M5" s="17"/>
    </row>
    <row r="6" customFormat="false" ht="16.5" hidden="false" customHeight="true" outlineLevel="0" collapsed="false">
      <c r="B6" s="38" t="s">
        <v>69</v>
      </c>
      <c r="C6" s="39" t="s">
        <v>109</v>
      </c>
      <c r="D6" s="40" t="n">
        <f aca="false">'Income Statement'!C26</f>
        <v>0.595051129252936</v>
      </c>
      <c r="E6" s="40" t="n">
        <f aca="false">'Income Statement'!D26</f>
        <v>0.528291951881405</v>
      </c>
      <c r="F6" s="40" t="n">
        <f aca="false">'Income Statement'!E26</f>
        <v>0.51454393199665</v>
      </c>
      <c r="G6" s="40" t="n">
        <f aca="false">'Income Statement'!F26</f>
        <v>0.546365057650967</v>
      </c>
      <c r="H6" s="40" t="n">
        <f aca="false">'Income Statement'!G26</f>
        <v>0.540947081323433</v>
      </c>
      <c r="I6" s="41" t="n">
        <f aca="false">'Income Statement'!H26</f>
        <v>0.478741418463921</v>
      </c>
      <c r="J6" s="41" t="n">
        <f aca="false">'Income Statement'!I26</f>
        <v>0.487455876430314</v>
      </c>
      <c r="K6" s="40" t="n">
        <f aca="false">'Income Statement'!J26</f>
        <v>0.531579013205352</v>
      </c>
      <c r="L6" s="40" t="n">
        <f aca="false">'Income Statement'!K26</f>
        <v>0.551006474183325</v>
      </c>
      <c r="M6" s="40" t="n">
        <f aca="false">'Income Statement'!L26</f>
        <v>0.555339098482689</v>
      </c>
      <c r="N6" s="42" t="n">
        <v>0.5</v>
      </c>
    </row>
    <row r="7" customFormat="false" ht="16.5" hidden="false" customHeight="true" outlineLevel="0" collapsed="false">
      <c r="B7" s="38" t="s">
        <v>71</v>
      </c>
      <c r="C7" s="39" t="s">
        <v>109</v>
      </c>
      <c r="D7" s="40" t="n">
        <f aca="false">'Income Statement'!C28</f>
        <v>0.333782916280306</v>
      </c>
      <c r="E7" s="40" t="n">
        <f aca="false">'Income Statement'!D28</f>
        <v>0.308250637935923</v>
      </c>
      <c r="F7" s="40" t="n">
        <f aca="false">'Income Statement'!E28</f>
        <v>0.308922279629015</v>
      </c>
      <c r="G7" s="40" t="n">
        <f aca="false">'Income Statement'!F28</f>
        <v>0.333209155755325</v>
      </c>
      <c r="H7" s="40" t="n">
        <f aca="false">'Income Statement'!G28</f>
        <v>0.33055651591731</v>
      </c>
      <c r="I7" s="40" t="n">
        <f aca="false">'Income Statement'!H28</f>
        <v>0.241779446318636</v>
      </c>
      <c r="J7" s="40" t="n">
        <f aca="false">'Income Statement'!I28</f>
        <v>0.254684797801521</v>
      </c>
      <c r="K7" s="40" t="n">
        <f aca="false">'Income Statement'!J28</f>
        <v>0.310144395751938</v>
      </c>
      <c r="L7" s="40" t="n">
        <f aca="false">'Income Statement'!K28</f>
        <v>0.340497330872157</v>
      </c>
      <c r="M7" s="40" t="n">
        <f aca="false">'Income Statement'!L28</f>
        <v>0.344604939444814</v>
      </c>
      <c r="N7" s="42" t="n">
        <v>0.2</v>
      </c>
    </row>
    <row r="8" customFormat="false" ht="16.5" hidden="false" customHeight="true" outlineLevel="0" collapsed="false">
      <c r="B8" s="38" t="s">
        <v>70</v>
      </c>
      <c r="C8" s="39" t="s">
        <v>109</v>
      </c>
      <c r="D8" s="40" t="n">
        <f aca="false">'Income Statement'!C27</f>
        <v>0.541619925170377</v>
      </c>
      <c r="E8" s="40" t="n">
        <f aca="false">'Income Statement'!D27</f>
        <v>0.478715217303252</v>
      </c>
      <c r="F8" s="40" t="n">
        <f aca="false">'Income Statement'!E27</f>
        <v>0.468407830497227</v>
      </c>
      <c r="G8" s="40" t="n">
        <f aca="false">'Income Statement'!F27</f>
        <v>0.499645788547977</v>
      </c>
      <c r="H8" s="40" t="n">
        <f aca="false">'Income Statement'!G27</f>
        <v>0.490294858497555</v>
      </c>
      <c r="I8" s="40" t="n">
        <f aca="false">'Income Statement'!H27</f>
        <v>0.427285018574185</v>
      </c>
      <c r="J8" s="40" t="n">
        <f aca="false">'Income Statement'!I27</f>
        <v>0.434626045343631</v>
      </c>
      <c r="K8" s="40" t="n">
        <f aca="false">'Income Statement'!J27</f>
        <v>0.479666593002456</v>
      </c>
      <c r="L8" s="40" t="n">
        <f aca="false">'Income Statement'!K27</f>
        <v>0.500131417160362</v>
      </c>
      <c r="M8" s="40" t="n">
        <f aca="false">'Income Statement'!L27</f>
        <v>0.504577275175014</v>
      </c>
      <c r="N8" s="42" t="n">
        <v>0.5</v>
      </c>
    </row>
    <row r="9" customFormat="false" ht="16.5" hidden="false" customHeight="true" outlineLevel="0" collapsed="false">
      <c r="B9" s="38" t="s">
        <v>110</v>
      </c>
      <c r="C9" s="39" t="s">
        <v>109</v>
      </c>
      <c r="D9" s="40" t="n">
        <f aca="false">'Income Statement'!C21/'Balance Sheet'!C12</f>
        <v>0.191748929037065</v>
      </c>
      <c r="E9" s="41" t="n">
        <f aca="false">'Income Statement'!D21/'Balance Sheet'!D12</f>
        <v>0.137749782797567</v>
      </c>
      <c r="F9" s="41" t="n">
        <f aca="false">'Income Statement'!E21/'Balance Sheet'!E12</f>
        <v>0.136880425651078</v>
      </c>
      <c r="G9" s="40" t="n">
        <f aca="false">'Income Statement'!F21/'Balance Sheet'!F12</f>
        <v>0.174639907816401</v>
      </c>
      <c r="H9" s="40" t="n">
        <f aca="false">'Income Statement'!G21/'Balance Sheet'!G12</f>
        <v>0.17277134006425</v>
      </c>
      <c r="I9" s="43" t="n">
        <f aca="false">'Income Statement'!H21/'Balance Sheet'!H12</f>
        <v>0.115689969223039</v>
      </c>
      <c r="J9" s="41" t="n">
        <f aca="false">'Income Statement'!I21/'Balance Sheet'!I12</f>
        <v>0.124759196936289</v>
      </c>
      <c r="K9" s="40" t="n">
        <f aca="false">'Income Statement'!J21/'Balance Sheet'!J12</f>
        <v>0.189529876417378</v>
      </c>
      <c r="L9" s="40" t="n">
        <f aca="false">'Income Statement'!K21/'Balance Sheet'!K12</f>
        <v>0.238361813721343</v>
      </c>
      <c r="M9" s="40" t="n">
        <f aca="false">'Income Statement'!L21/'Balance Sheet'!L12</f>
        <v>0.229664684564231</v>
      </c>
      <c r="N9" s="42" t="n">
        <v>0.15</v>
      </c>
    </row>
    <row r="10" customFormat="false" ht="16.5" hidden="false" customHeight="true" outlineLevel="0" collapsed="false">
      <c r="B10" s="38" t="s">
        <v>111</v>
      </c>
      <c r="C10" s="39" t="s">
        <v>109</v>
      </c>
      <c r="D10" s="40" t="n">
        <f aca="false">'Income Statement'!C21/'Balance Sheet'!C6</f>
        <v>0.124763682194968</v>
      </c>
      <c r="E10" s="41" t="n">
        <f aca="false">'Income Statement'!D21/'Balance Sheet'!D6</f>
        <v>0.0909812547819434</v>
      </c>
      <c r="F10" s="41" t="n">
        <f aca="false">'Income Statement'!E21/'Balance Sheet'!E6</f>
        <v>0.0897539478516342</v>
      </c>
      <c r="G10" s="40" t="n">
        <f aca="false">'Income Statement'!F21/'Balance Sheet'!F6</f>
        <v>0.116478801075957</v>
      </c>
      <c r="H10" s="40" t="n">
        <f aca="false">'Income Statement'!G21/'Balance Sheet'!G6</f>
        <v>0.117568411601671</v>
      </c>
      <c r="I10" s="43" t="n">
        <f aca="false">'Income Statement'!H21/'Balance Sheet'!H6</f>
        <v>0.0752333299295415</v>
      </c>
      <c r="J10" s="41" t="n">
        <f aca="false">'Income Statement'!I21/'Balance Sheet'!I6</f>
        <v>0.0820054159197529</v>
      </c>
      <c r="K10" s="40" t="n">
        <f aca="false">'Income Statement'!J21/'Balance Sheet'!J6</f>
        <v>0.121448281492367</v>
      </c>
      <c r="L10" s="40" t="n">
        <f aca="false">'Income Statement'!K21/'Balance Sheet'!K6</f>
        <v>0.150492709501682</v>
      </c>
      <c r="M10" s="40" t="n">
        <f aca="false">'Income Statement'!L21/'Balance Sheet'!L6</f>
        <v>0.150845244560508</v>
      </c>
      <c r="N10" s="42" t="n">
        <v>0.1</v>
      </c>
    </row>
    <row r="11" customFormat="false" ht="16.5" hidden="false" customHeight="true" outlineLevel="0" collapsed="false">
      <c r="B11" s="38" t="s">
        <v>112</v>
      </c>
      <c r="C11" s="39" t="s">
        <v>109</v>
      </c>
      <c r="D11" s="40" t="n">
        <f aca="false">'Income Statement'!C15/('Balance Sheet'!C6-'Balance Sheet'!C18)</f>
        <v>0.193181345919791</v>
      </c>
      <c r="E11" s="41" t="n">
        <f aca="false">'Income Statement'!D15/('Balance Sheet'!D6-'Balance Sheet'!D18)</f>
        <v>0.114350869141185</v>
      </c>
      <c r="F11" s="41" t="n">
        <f aca="false">'Income Statement'!E15/('Balance Sheet'!E6-'Balance Sheet'!E18)</f>
        <v>0.107584084414157</v>
      </c>
      <c r="G11" s="40" t="n">
        <f aca="false">'Income Statement'!F15/('Balance Sheet'!F6-'Balance Sheet'!F18)</f>
        <v>0.150442970687997</v>
      </c>
      <c r="H11" s="40" t="n">
        <f aca="false">'Income Statement'!G15/('Balance Sheet'!G6-'Balance Sheet'!G18)</f>
        <v>0.148018578684849</v>
      </c>
      <c r="I11" s="41" t="n">
        <f aca="false">'Income Statement'!H15/('Balance Sheet'!H6-'Balance Sheet'!H18)</f>
        <v>0.0954675874142878</v>
      </c>
      <c r="J11" s="41" t="n">
        <f aca="false">'Income Statement'!I15/('Balance Sheet'!I6-'Balance Sheet'!I18)</f>
        <v>0.103958474385015</v>
      </c>
      <c r="K11" s="40" t="n">
        <f aca="false">'Income Statement'!J15/('Balance Sheet'!J6-'Balance Sheet'!J18)</f>
        <v>0.163546537791778</v>
      </c>
      <c r="L11" s="40" t="n">
        <f aca="false">'Income Statement'!K15/('Balance Sheet'!K6-'Balance Sheet'!K18)</f>
        <v>0.206311563343194</v>
      </c>
      <c r="M11" s="40" t="n">
        <f aca="false">'Income Statement'!L15/('Balance Sheet'!L6-'Balance Sheet'!L18)</f>
        <v>0.202132518848715</v>
      </c>
      <c r="N11" s="42" t="n">
        <v>0.12</v>
      </c>
    </row>
    <row r="12" customFormat="false" ht="18" hidden="false" customHeight="true" outlineLevel="0" collapsed="false">
      <c r="B12" s="17" t="s">
        <v>113</v>
      </c>
      <c r="C12" s="17"/>
      <c r="D12" s="17"/>
      <c r="E12" s="17"/>
      <c r="F12" s="17"/>
      <c r="G12" s="17"/>
      <c r="H12" s="17"/>
      <c r="I12" s="17"/>
      <c r="J12" s="17"/>
      <c r="K12" s="17"/>
      <c r="L12" s="17"/>
      <c r="M12" s="17"/>
    </row>
    <row r="13" customFormat="false" ht="16.5" hidden="false" customHeight="true" outlineLevel="0" collapsed="false">
      <c r="B13" s="38" t="s">
        <v>114</v>
      </c>
      <c r="C13" s="44" t="s">
        <v>115</v>
      </c>
      <c r="D13" s="45" t="n">
        <f aca="false">'Balance Sheet'!C8/'Balance Sheet'!C18</f>
        <v>1.50746268656716</v>
      </c>
      <c r="E13" s="45" t="n">
        <f aca="false">'Balance Sheet'!D8/'Balance Sheet'!D18</f>
        <v>1.58000574547544</v>
      </c>
      <c r="F13" s="45" t="n">
        <f aca="false">'Balance Sheet'!E8/'Balance Sheet'!E18</f>
        <v>1.63085284280936</v>
      </c>
      <c r="G13" s="45" t="n">
        <f aca="false">'Balance Sheet'!F8/'Balance Sheet'!F18</f>
        <v>1.71810250817884</v>
      </c>
      <c r="H13" s="45" t="n">
        <f aca="false">'Balance Sheet'!G8/'Balance Sheet'!G18</f>
        <v>1.85826248671626</v>
      </c>
      <c r="I13" s="45" t="n">
        <f aca="false">'Balance Sheet'!H8/'Balance Sheet'!H18</f>
        <v>1.67636178083939</v>
      </c>
      <c r="J13" s="45" t="n">
        <f aca="false">'Balance Sheet'!I8/'Balance Sheet'!I18</f>
        <v>1.65760334645669</v>
      </c>
      <c r="K13" s="46" t="n">
        <f aca="false">'Balance Sheet'!J8/'Balance Sheet'!J18</f>
        <v>1.48056432517758</v>
      </c>
      <c r="L13" s="45" t="n">
        <f aca="false">'Balance Sheet'!K8/'Balance Sheet'!K18</f>
        <v>1.49588631264024</v>
      </c>
      <c r="M13" s="45" t="n">
        <f aca="false">'Balance Sheet'!L8/'Balance Sheet'!L18</f>
        <v>1.681073670539</v>
      </c>
      <c r="N13" s="47" t="n">
        <v>1.5</v>
      </c>
    </row>
    <row r="14" customFormat="false" ht="16.5" hidden="false" customHeight="true" outlineLevel="0" collapsed="false">
      <c r="B14" s="38" t="s">
        <v>116</v>
      </c>
      <c r="C14" s="44" t="s">
        <v>115</v>
      </c>
      <c r="D14" s="45" t="n">
        <f aca="false">('Balance Sheet'!C9+'Balance Sheet'!C10)/'Balance Sheet'!C18</f>
        <v>1.19706775855237</v>
      </c>
      <c r="E14" s="45" t="n">
        <f aca="false">('Balance Sheet'!D9+'Balance Sheet'!D10)/'Balance Sheet'!D18</f>
        <v>1.29876472278081</v>
      </c>
      <c r="F14" s="45" t="n">
        <f aca="false">('Balance Sheet'!E9+'Balance Sheet'!E10)/'Balance Sheet'!E18</f>
        <v>1.39353400222965</v>
      </c>
      <c r="G14" s="45" t="n">
        <f aca="false">('Balance Sheet'!F9+'Balance Sheet'!F10)/'Balance Sheet'!F18</f>
        <v>1.51281352235551</v>
      </c>
      <c r="H14" s="45" t="n">
        <f aca="false">('Balance Sheet'!G9+'Balance Sheet'!G10)/'Balance Sheet'!G18</f>
        <v>1.64837938363443</v>
      </c>
      <c r="I14" s="45" t="n">
        <f aca="false">('Balance Sheet'!H9+'Balance Sheet'!H10)/'Balance Sheet'!H18</f>
        <v>1.45860441382829</v>
      </c>
      <c r="J14" s="45" t="n">
        <f aca="false">('Balance Sheet'!I9+'Balance Sheet'!I10)/'Balance Sheet'!I18</f>
        <v>1.58316929133858</v>
      </c>
      <c r="K14" s="45" t="n">
        <f aca="false">('Balance Sheet'!J9+'Balance Sheet'!J10)/'Balance Sheet'!J18</f>
        <v>1.52762430939227</v>
      </c>
      <c r="L14" s="45" t="n">
        <f aca="false">('Balance Sheet'!K9+'Balance Sheet'!K10)/'Balance Sheet'!K18</f>
        <v>1.50403889304413</v>
      </c>
      <c r="M14" s="45" t="n">
        <f aca="false">('Balance Sheet'!L9+'Balance Sheet'!L10)/'Balance Sheet'!L18</f>
        <v>1.75351756981023</v>
      </c>
      <c r="N14" s="47" t="n">
        <v>1</v>
      </c>
    </row>
    <row r="15" customFormat="false" ht="16.5" hidden="false" customHeight="true" outlineLevel="0" collapsed="false">
      <c r="B15" s="38" t="s">
        <v>117</v>
      </c>
      <c r="C15" s="44" t="s">
        <v>115</v>
      </c>
      <c r="D15" s="45" t="n">
        <f aca="false">'Balance Sheet'!C9/'Balance Sheet'!C18</f>
        <v>0.559767534011359</v>
      </c>
      <c r="E15" s="45" t="n">
        <f aca="false">'Balance Sheet'!D9/'Balance Sheet'!D18</f>
        <v>0.549267451881643</v>
      </c>
      <c r="F15" s="45" t="n">
        <f aca="false">'Balance Sheet'!E9/'Balance Sheet'!E18</f>
        <v>0.636566332218506</v>
      </c>
      <c r="G15" s="45" t="n">
        <f aca="false">'Balance Sheet'!F9/'Balance Sheet'!F18</f>
        <v>0.713467829880044</v>
      </c>
      <c r="H15" s="45" t="n">
        <f aca="false">'Balance Sheet'!G9/'Balance Sheet'!G18</f>
        <v>0.813629117959618</v>
      </c>
      <c r="I15" s="45" t="n">
        <f aca="false">'Balance Sheet'!H9/'Balance Sheet'!H18</f>
        <v>0.62405919122337</v>
      </c>
      <c r="J15" s="45" t="n">
        <f aca="false">'Balance Sheet'!I9/'Balance Sheet'!I18</f>
        <v>0.687007874015748</v>
      </c>
      <c r="K15" s="45" t="n">
        <f aca="false">'Balance Sheet'!J9/'Balance Sheet'!J18</f>
        <v>0.675019731649566</v>
      </c>
      <c r="L15" s="45" t="n">
        <f aca="false">'Balance Sheet'!K9/'Balance Sheet'!K18</f>
        <v>0.691473448017951</v>
      </c>
      <c r="M15" s="45" t="n">
        <f aca="false">'Balance Sheet'!L9/'Balance Sheet'!L18</f>
        <v>0.856050220073598</v>
      </c>
      <c r="N15" s="47" t="n">
        <v>0.5</v>
      </c>
    </row>
    <row r="16" customFormat="false" ht="18" hidden="false" customHeight="true" outlineLevel="0" collapsed="false">
      <c r="B16" s="17" t="s">
        <v>118</v>
      </c>
      <c r="C16" s="17"/>
      <c r="D16" s="17"/>
      <c r="E16" s="17"/>
      <c r="F16" s="17"/>
      <c r="G16" s="17"/>
      <c r="H16" s="17"/>
      <c r="I16" s="17"/>
      <c r="J16" s="17"/>
      <c r="K16" s="17"/>
      <c r="L16" s="17"/>
      <c r="M16" s="17"/>
    </row>
    <row r="17" customFormat="false" ht="16.5" hidden="false" customHeight="true" outlineLevel="0" collapsed="false">
      <c r="B17" s="38" t="s">
        <v>119</v>
      </c>
      <c r="C17" s="48" t="s">
        <v>120</v>
      </c>
      <c r="D17" s="45" t="n">
        <f aca="false">'Balance Sheet'!C19/'Balance Sheet'!C12</f>
        <v>0.0686161296330788</v>
      </c>
      <c r="E17" s="45" t="n">
        <f aca="false">'Balance Sheet'!D19/'Balance Sheet'!D12</f>
        <v>0.0819577179264408</v>
      </c>
      <c r="F17" s="45" t="n">
        <f aca="false">'Balance Sheet'!E19/'Balance Sheet'!E12</f>
        <v>0.0995869504340521</v>
      </c>
      <c r="G17" s="45" t="n">
        <f aca="false">'Balance Sheet'!F19/'Balance Sheet'!F12</f>
        <v>0.111004417130785</v>
      </c>
      <c r="H17" s="45" t="n">
        <f aca="false">'Balance Sheet'!G19/'Balance Sheet'!G12</f>
        <v>0.121758834327673</v>
      </c>
      <c r="I17" s="45" t="n">
        <f aca="false">'Balance Sheet'!H19/'Balance Sheet'!H12</f>
        <v>0.151498021481063</v>
      </c>
      <c r="J17" s="45" t="n">
        <f aca="false">'Balance Sheet'!I19/'Balance Sheet'!I12</f>
        <v>0.152837414413369</v>
      </c>
      <c r="K17" s="45" t="n">
        <f aca="false">'Balance Sheet'!J19/'Balance Sheet'!J12</f>
        <v>0.174340680341445</v>
      </c>
      <c r="L17" s="45" t="n">
        <f aca="false">'Balance Sheet'!K19/'Balance Sheet'!K12</f>
        <v>0.182831401742661</v>
      </c>
      <c r="M17" s="45" t="n">
        <f aca="false">'Balance Sheet'!L19/'Balance Sheet'!L12</f>
        <v>0.172829949685092</v>
      </c>
      <c r="N17" s="47" t="n">
        <v>0.5</v>
      </c>
    </row>
    <row r="18" customFormat="false" ht="16.5" hidden="false" customHeight="true" outlineLevel="0" collapsed="false">
      <c r="B18" s="38" t="s">
        <v>121</v>
      </c>
      <c r="C18" s="48" t="s">
        <v>120</v>
      </c>
      <c r="D18" s="49" t="n">
        <f aca="false">'Income Statement'!C15/'Income Statement'!C17</f>
        <v>52.4814516129032</v>
      </c>
      <c r="E18" s="49" t="n">
        <f aca="false">'Income Statement'!D15/'Income Statement'!D17</f>
        <v>21.5486486486486</v>
      </c>
      <c r="F18" s="49" t="n">
        <f aca="false">'Income Statement'!E15/'Income Statement'!E17</f>
        <v>18.2953271028037</v>
      </c>
      <c r="G18" s="49" t="n">
        <f aca="false">'Income Statement'!F15/'Income Statement'!F17</f>
        <v>22.1768656716418</v>
      </c>
      <c r="H18" s="49" t="n">
        <f aca="false">'Income Statement'!G15/'Income Statement'!G17</f>
        <v>19.966975308642</v>
      </c>
      <c r="I18" s="49" t="n">
        <f aca="false">'Income Statement'!H15/'Income Statement'!H17</f>
        <v>9.52961165048544</v>
      </c>
      <c r="J18" s="49" t="n">
        <f aca="false">'Income Statement'!I15/'Income Statement'!I17</f>
        <v>11.9958333333333</v>
      </c>
      <c r="K18" s="49" t="n">
        <f aca="false">'Income Statement'!J15/'Income Statement'!J17</f>
        <v>19.6675294117647</v>
      </c>
      <c r="L18" s="49" t="n">
        <f aca="false">'Income Statement'!K15/'Income Statement'!K17</f>
        <v>18.5565789473684</v>
      </c>
      <c r="M18" s="49" t="n">
        <f aca="false">'Income Statement'!L15/'Income Statement'!L17</f>
        <v>17.4486935866983</v>
      </c>
      <c r="N18" s="50" t="n">
        <v>5</v>
      </c>
    </row>
    <row r="19" customFormat="false" ht="16.5" hidden="false" customHeight="true" outlineLevel="0" collapsed="false">
      <c r="B19" s="38" t="s">
        <v>122</v>
      </c>
      <c r="C19" s="48" t="s">
        <v>120</v>
      </c>
      <c r="D19" s="45" t="n">
        <f aca="false">('Balance Sheet'!C19-'Balance Sheet'!C9)/'Income Statement'!C14</f>
        <v>-0.286853352808074</v>
      </c>
      <c r="E19" s="45" t="n">
        <f aca="false">('Balance Sheet'!D19-'Balance Sheet'!D9)/'Income Statement'!D14</f>
        <v>-0.263981724342161</v>
      </c>
      <c r="F19" s="45" t="n">
        <f aca="false">('Balance Sheet'!E19-'Balance Sheet'!E9)/'Income Statement'!E14</f>
        <v>-0.290595695878027</v>
      </c>
      <c r="G19" s="45" t="n">
        <f aca="false">('Balance Sheet'!F19-'Balance Sheet'!F9)/'Income Statement'!F14</f>
        <v>-0.215855477057716</v>
      </c>
      <c r="H19" s="45" t="n">
        <f aca="false">('Balance Sheet'!G19-'Balance Sheet'!G9)/'Income Statement'!G14</f>
        <v>-0.210424991325566</v>
      </c>
      <c r="I19" s="45" t="n">
        <f aca="false">('Balance Sheet'!H19-'Balance Sheet'!H9)/'Income Statement'!H14</f>
        <v>-0.0104451476145126</v>
      </c>
      <c r="J19" s="45" t="n">
        <f aca="false">('Balance Sheet'!I19-'Balance Sheet'!I9)/'Income Statement'!I14</f>
        <v>-0.0430611577455576</v>
      </c>
      <c r="K19" s="45" t="n">
        <f aca="false">('Balance Sheet'!J19-'Balance Sheet'!J9)/'Income Statement'!J14</f>
        <v>0</v>
      </c>
      <c r="L19" s="45" t="n">
        <f aca="false">('Balance Sheet'!K19-'Balance Sheet'!K9)/'Income Statement'!K14</f>
        <v>-0.0362434837236555</v>
      </c>
      <c r="M19" s="45" t="n">
        <f aca="false">('Balance Sheet'!L19-'Balance Sheet'!L9)/'Income Statement'!L14</f>
        <v>-0.106723585912487</v>
      </c>
      <c r="N19" s="47" t="n">
        <v>2</v>
      </c>
    </row>
    <row r="20" customFormat="false" ht="18" hidden="false" customHeight="true" outlineLevel="0" collapsed="false">
      <c r="B20" s="17" t="s">
        <v>123</v>
      </c>
      <c r="C20" s="17"/>
      <c r="D20" s="17"/>
      <c r="E20" s="17"/>
      <c r="F20" s="17"/>
      <c r="G20" s="17"/>
      <c r="H20" s="17"/>
      <c r="I20" s="17"/>
      <c r="J20" s="17"/>
      <c r="K20" s="17"/>
      <c r="L20" s="17"/>
      <c r="M20" s="17"/>
    </row>
    <row r="21" customFormat="false" ht="16.5" hidden="false" customHeight="true" outlineLevel="0" collapsed="false">
      <c r="B21" s="38" t="s">
        <v>124</v>
      </c>
      <c r="C21" s="51" t="s">
        <v>125</v>
      </c>
      <c r="D21" s="45" t="n">
        <f aca="false">'Income Statement'!C8/'Balance Sheet'!C6</f>
        <v>0.37378690193417</v>
      </c>
      <c r="E21" s="46" t="n">
        <f aca="false">'Income Statement'!D8/'Balance Sheet'!D6</f>
        <v>0.295153500382555</v>
      </c>
      <c r="F21" s="46" t="n">
        <f aca="false">'Income Statement'!E8/'Balance Sheet'!E6</f>
        <v>0.290538927653324</v>
      </c>
      <c r="G21" s="45" t="n">
        <f aca="false">'Income Statement'!F8/'Balance Sheet'!F6</f>
        <v>0.349566628239614</v>
      </c>
      <c r="H21" s="45" t="n">
        <f aca="false">'Income Statement'!G8/'Balance Sheet'!G6</f>
        <v>0.355668111020026</v>
      </c>
      <c r="I21" s="46" t="n">
        <f aca="false">'Income Statement'!H8/'Balance Sheet'!H6</f>
        <v>0.311165117941387</v>
      </c>
      <c r="J21" s="46" t="n">
        <f aca="false">'Income Statement'!I8/'Balance Sheet'!I6</f>
        <v>0.321987871390976</v>
      </c>
      <c r="K21" s="45" t="n">
        <f aca="false">'Income Statement'!J8/'Balance Sheet'!J6</f>
        <v>0.391586251938934</v>
      </c>
      <c r="L21" s="45" t="n">
        <f aca="false">'Income Statement'!K8/'Balance Sheet'!K6</f>
        <v>0.441979116594563</v>
      </c>
      <c r="M21" s="45" t="n">
        <f aca="false">'Income Statement'!L8/'Balance Sheet'!L6</f>
        <v>0.437733843291774</v>
      </c>
      <c r="N21" s="47" t="n">
        <v>0.4</v>
      </c>
    </row>
    <row r="22" customFormat="false" ht="16.5" hidden="false" customHeight="true" outlineLevel="0" collapsed="false">
      <c r="B22" s="38" t="s">
        <v>126</v>
      </c>
      <c r="C22" s="51" t="s">
        <v>125</v>
      </c>
      <c r="D22" s="52" t="n">
        <f aca="false">'Balance Sheet'!C10/'Income Statement'!C8*365</f>
        <v>114.197851079972</v>
      </c>
      <c r="E22" s="53" t="n">
        <f aca="false">'Balance Sheet'!D10/'Income Statement'!D8*365</f>
        <v>154.284904208352</v>
      </c>
      <c r="F22" s="53" t="n">
        <f aca="false">'Balance Sheet'!E10/'Income Statement'!E8*365</f>
        <v>156.632064590542</v>
      </c>
      <c r="G22" s="53" t="n">
        <f aca="false">'Balance Sheet'!F10/'Income Statement'!F8*365</f>
        <v>130.713797146766</v>
      </c>
      <c r="H22" s="52" t="n">
        <f aca="false">'Balance Sheet'!G10/'Income Statement'!G8*365</f>
        <v>125.87104811138</v>
      </c>
      <c r="I22" s="53" t="n">
        <f aca="false">'Balance Sheet'!H10/'Income Statement'!H8*365</f>
        <v>156.720835903966</v>
      </c>
      <c r="J22" s="53" t="n">
        <f aca="false">'Balance Sheet'!I10/'Income Statement'!I8*365</f>
        <v>157.462509772334</v>
      </c>
      <c r="K22" s="53" t="n">
        <f aca="false">'Balance Sheet'!J10/'Income Statement'!J8*365</f>
        <v>131.525224432612</v>
      </c>
      <c r="L22" s="52" t="n">
        <f aca="false">'Balance Sheet'!K10/'Income Statement'!K8*365</f>
        <v>119.796862302006</v>
      </c>
      <c r="M22" s="52" t="n">
        <f aca="false">'Balance Sheet'!L10/'Income Statement'!L8*365</f>
        <v>119.839874560487</v>
      </c>
      <c r="N22" s="54" t="n">
        <v>90</v>
      </c>
    </row>
    <row r="23" customFormat="false" ht="18" hidden="false" customHeight="true" outlineLevel="0" collapsed="false">
      <c r="B23" s="17" t="s">
        <v>127</v>
      </c>
      <c r="C23" s="17"/>
      <c r="D23" s="17"/>
      <c r="E23" s="17"/>
      <c r="F23" s="17"/>
      <c r="G23" s="17"/>
      <c r="H23" s="17"/>
      <c r="I23" s="17"/>
      <c r="J23" s="17"/>
      <c r="K23" s="17"/>
      <c r="L23" s="17"/>
      <c r="M23" s="17"/>
    </row>
    <row r="24" customFormat="false" ht="16.5" hidden="false" customHeight="true" outlineLevel="0" collapsed="false">
      <c r="B24" s="38" t="s">
        <v>128</v>
      </c>
      <c r="C24" s="55" t="s">
        <v>129</v>
      </c>
      <c r="D24" s="56" t="n">
        <f aca="false">D29/'Income Statement'!C23</f>
        <v>8.10092451724138</v>
      </c>
      <c r="E24" s="57" t="n">
        <f aca="false">E29/'Income Statement'!D23</f>
        <v>10.2027612937559</v>
      </c>
      <c r="F24" s="56" t="n">
        <f aca="false">F29/'Income Statement'!E23</f>
        <v>9.79761898143412</v>
      </c>
      <c r="G24" s="57" t="n">
        <f aca="false">G29/'Income Statement'!F23</f>
        <v>8.40253554187057</v>
      </c>
      <c r="H24" s="56" t="n">
        <f aca="false">H29/'Income Statement'!G23</f>
        <v>7.80253265294264</v>
      </c>
      <c r="I24" s="57" t="n">
        <f aca="false">I29/'Income Statement'!H23</f>
        <v>11.2061020359411</v>
      </c>
      <c r="J24" s="56" t="n">
        <f aca="false">J29/'Income Statement'!I23</f>
        <v>10.0268571124599</v>
      </c>
      <c r="K24" s="57" t="n">
        <f aca="false">K29/'Income Statement'!J23</f>
        <v>7.20225275271911</v>
      </c>
      <c r="L24" s="56" t="n">
        <f aca="false">L29/'Income Statement'!K23</f>
        <v>6.41321171533268</v>
      </c>
      <c r="M24" s="57" t="n">
        <f aca="false">M29/'Income Statement'!L23</f>
        <v>7.15527002684877</v>
      </c>
      <c r="N24" s="31" t="s">
        <v>130</v>
      </c>
    </row>
    <row r="25" customFormat="false" ht="16.5" hidden="false" customHeight="true" outlineLevel="0" collapsed="false">
      <c r="B25" s="38" t="s">
        <v>131</v>
      </c>
      <c r="C25" s="55" t="s">
        <v>129</v>
      </c>
      <c r="D25" s="58" t="n">
        <f aca="false">D29/('Balance Sheet'!C12/'DCF Valuation'!$C$10)</f>
        <v>1.55334360039113</v>
      </c>
      <c r="E25" s="59" t="n">
        <f aca="false">E29/('Balance Sheet'!D12/'DCF Valuation'!$C$10)</f>
        <v>1.4054281521503</v>
      </c>
      <c r="F25" s="58" t="n">
        <f aca="false">F29/('Balance Sheet'!E12/'DCF Valuation'!$C$10)</f>
        <v>1.34110225654579</v>
      </c>
      <c r="G25" s="59" t="n">
        <f aca="false">G29/('Balance Sheet'!F12/'DCF Valuation'!$C$10)</f>
        <v>1.46741803245631</v>
      </c>
      <c r="H25" s="58" t="n">
        <f aca="false">H29/('Balance Sheet'!G12/'DCF Valuation'!$C$10)</f>
        <v>1.34805402234397</v>
      </c>
      <c r="I25" s="59" t="n">
        <f aca="false">I29/('Balance Sheet'!H12/'DCF Valuation'!$C$10)</f>
        <v>1.29643359964826</v>
      </c>
      <c r="J25" s="58" t="n">
        <f aca="false">J29/('Balance Sheet'!I12/'DCF Valuation'!$C$10)</f>
        <v>1.25094264114541</v>
      </c>
      <c r="K25" s="59" t="n">
        <f aca="false">K29/('Balance Sheet'!J12/'DCF Valuation'!$C$10)</f>
        <v>1.36504207414957</v>
      </c>
      <c r="L25" s="58" t="n">
        <f aca="false">L29/('Balance Sheet'!K12/'DCF Valuation'!$C$10)</f>
        <v>1.52866477624566</v>
      </c>
      <c r="M25" s="59" t="n">
        <f aca="false">M29/('Balance Sheet'!L12/'DCF Valuation'!$C$10)</f>
        <v>1.64331283368812</v>
      </c>
      <c r="N25" s="31" t="s">
        <v>130</v>
      </c>
    </row>
    <row r="26" customFormat="false" ht="16.5" hidden="false" customHeight="true" outlineLevel="0" collapsed="false">
      <c r="B26" s="38" t="s">
        <v>132</v>
      </c>
      <c r="C26" s="55" t="s">
        <v>129</v>
      </c>
      <c r="D26" s="56" t="n">
        <f aca="false">(('Balance Sheet'!C19-'Balance Sheet'!C9)+D29*'DCF Valuation'!$C$10)/'Income Statement'!C14</f>
        <v>4.70548552593772</v>
      </c>
      <c r="E26" s="57" t="n">
        <f aca="false">(('Balance Sheet'!D19-'Balance Sheet'!D9)+E29*'DCF Valuation'!$C$10)/'Income Statement'!D14</f>
        <v>6.30570222100008</v>
      </c>
      <c r="F26" s="56" t="n">
        <f aca="false">(('Balance Sheet'!E19-'Balance Sheet'!E9)+F29*'DCF Valuation'!$C$10)/'Income Statement'!E14</f>
        <v>6.17108703788032</v>
      </c>
      <c r="G26" s="57" t="n">
        <f aca="false">(('Balance Sheet'!F19-'Balance Sheet'!F9)+G29*'DCF Valuation'!$C$10)/'Income Statement'!F14</f>
        <v>5.38771777079717</v>
      </c>
      <c r="H26" s="56" t="n">
        <f aca="false">(('Balance Sheet'!G19-'Balance Sheet'!G9)+H29*'DCF Valuation'!$C$10)/'Income Statement'!G14</f>
        <v>5.0500381042723</v>
      </c>
      <c r="I26" s="57" t="n">
        <f aca="false">(('Balance Sheet'!H19-'Balance Sheet'!H9)+I29*'DCF Valuation'!$C$10)/'Income Statement'!H14</f>
        <v>6.33053342140026</v>
      </c>
      <c r="J26" s="56" t="n">
        <f aca="false">(('Balance Sheet'!I19-'Balance Sheet'!I9)+J29*'DCF Valuation'!$C$10)/'Income Statement'!I14</f>
        <v>5.8325371954377</v>
      </c>
      <c r="K26" s="57" t="n">
        <f aca="false">(('Balance Sheet'!J19-'Balance Sheet'!J9)+K29*'DCF Valuation'!$C$10)/'Income Statement'!J14</f>
        <v>4.65685615932265</v>
      </c>
      <c r="L26" s="56" t="n">
        <f aca="false">(('Balance Sheet'!K19-'Balance Sheet'!K9)+L29*'DCF Valuation'!$C$10)/'Income Statement'!K14</f>
        <v>4.32997186780793</v>
      </c>
      <c r="M26" s="57" t="n">
        <f aca="false">(('Balance Sheet'!L19-'Balance Sheet'!L9)+M29*'DCF Valuation'!$C$10)/'Income Statement'!L14</f>
        <v>4.78002323291376</v>
      </c>
      <c r="N26" s="31" t="s">
        <v>130</v>
      </c>
    </row>
    <row r="27" customFormat="false" ht="16.5" hidden="false" customHeight="true" outlineLevel="0" collapsed="false">
      <c r="B27" s="38" t="s">
        <v>133</v>
      </c>
      <c r="C27" s="55" t="s">
        <v>129</v>
      </c>
      <c r="D27" s="60" t="n">
        <f aca="false">'Income Statement'!C24/D29</f>
        <v>0.0515692523489794</v>
      </c>
      <c r="E27" s="61" t="n">
        <f aca="false">'Income Statement'!D24/E29</f>
        <v>0.0415420405450316</v>
      </c>
      <c r="F27" s="60" t="n">
        <f aca="false">'Income Statement'!E24/F29</f>
        <v>0.0449024494286163</v>
      </c>
      <c r="G27" s="61" t="n">
        <f aca="false">'Income Statement'!F24/G29</f>
        <v>0.0492513790386131</v>
      </c>
      <c r="H27" s="60" t="n">
        <f aca="false">'Income Statement'!G24/H29</f>
        <v>0.0503303501162174</v>
      </c>
      <c r="I27" s="61" t="n">
        <f aca="false">'Income Statement'!H24/I29</f>
        <v>0.0312552092015336</v>
      </c>
      <c r="J27" s="60" t="n">
        <f aca="false">'Income Statement'!I24/J29</f>
        <v>0.0398986574101781</v>
      </c>
      <c r="K27" s="61" t="n">
        <f aca="false">'Income Statement'!J24/K29</f>
        <v>0.0561978163134233</v>
      </c>
      <c r="L27" s="60" t="n">
        <f aca="false">'Income Statement'!K24/L29</f>
        <v>0.0595011424219345</v>
      </c>
      <c r="M27" s="61" t="n">
        <f aca="false">'Income Statement'!L24/M29</f>
        <v>0.055251416968631</v>
      </c>
      <c r="N27" s="31" t="s">
        <v>130</v>
      </c>
    </row>
    <row r="28" customFormat="false" ht="16.5" hidden="false" customHeight="true" outlineLevel="0" collapsed="false">
      <c r="B28" s="38" t="s">
        <v>134</v>
      </c>
      <c r="C28" s="55" t="s">
        <v>129</v>
      </c>
      <c r="D28" s="60" t="n">
        <f aca="false">'Income Statement'!C24/'Income Statement'!C23</f>
        <v>0.417758620689655</v>
      </c>
      <c r="E28" s="61" t="n">
        <f aca="false">'Income Statement'!D24/'Income Statement'!D23</f>
        <v>0.423843523336487</v>
      </c>
      <c r="F28" s="60" t="n">
        <f aca="false">'Income Statement'!E24/'Income Statement'!E23</f>
        <v>0.439937090834697</v>
      </c>
      <c r="G28" s="61" t="n">
        <f aca="false">'Income Statement'!F24/'Income Statement'!F23</f>
        <v>0.413836462858085</v>
      </c>
      <c r="H28" s="60" t="n">
        <f aca="false">'Income Statement'!G24/'Income Statement'!G23</f>
        <v>0.392704200215821</v>
      </c>
      <c r="I28" s="61" t="n">
        <f aca="false">'Income Statement'!H24/'Income Statement'!H23</f>
        <v>0.350249063467072</v>
      </c>
      <c r="J28" s="60" t="n">
        <f aca="false">'Income Statement'!I24/'Income Statement'!I23</f>
        <v>0.400058136830845</v>
      </c>
      <c r="K28" s="61" t="n">
        <f aca="false">'Income Statement'!J24/'Income Statement'!J23</f>
        <v>0.404750877240155</v>
      </c>
      <c r="L28" s="60" t="n">
        <f aca="false">'Income Statement'!K24/'Income Statement'!K23</f>
        <v>0.381593423656028</v>
      </c>
      <c r="M28" s="61" t="n">
        <f aca="false">'Income Statement'!L24/'Income Statement'!L23</f>
        <v>0.395338807776569</v>
      </c>
      <c r="N28" s="31" t="s">
        <v>130</v>
      </c>
    </row>
    <row r="29" customFormat="false" ht="15" hidden="false" customHeight="true" outlineLevel="0" collapsed="false">
      <c r="B29" s="38" t="s">
        <v>135</v>
      </c>
      <c r="C29" s="55"/>
      <c r="D29" s="62" t="n">
        <v>96.957</v>
      </c>
      <c r="E29" s="62" t="n">
        <v>90.27</v>
      </c>
      <c r="F29" s="62" t="n">
        <v>89.082</v>
      </c>
      <c r="G29" s="62" t="n">
        <v>106.596</v>
      </c>
      <c r="H29" s="62" t="n">
        <v>109.278</v>
      </c>
      <c r="I29" s="62" t="n">
        <v>95.984</v>
      </c>
      <c r="J29" s="62" t="n">
        <v>100.254</v>
      </c>
      <c r="K29" s="62" t="n">
        <v>124.56</v>
      </c>
      <c r="L29" s="62" t="n">
        <v>168.064</v>
      </c>
      <c r="M29" s="62" t="n">
        <v>217.189</v>
      </c>
      <c r="N29" s="31"/>
    </row>
    <row r="30" customFormat="false" ht="15" hidden="false" customHeight="true" outlineLevel="0" collapsed="false">
      <c r="B30" s="63" t="s">
        <v>136</v>
      </c>
      <c r="C30" s="63"/>
      <c r="D30" s="63"/>
      <c r="E30" s="63"/>
      <c r="F30" s="63"/>
      <c r="G30" s="63"/>
      <c r="H30" s="63"/>
      <c r="I30" s="63"/>
      <c r="J30" s="63"/>
      <c r="K30" s="63"/>
      <c r="L30" s="63"/>
      <c r="M30" s="63"/>
      <c r="N30" s="63"/>
    </row>
  </sheetData>
  <mergeCells count="8">
    <mergeCell ref="B1:N1"/>
    <mergeCell ref="B2:N2"/>
    <mergeCell ref="B5:M5"/>
    <mergeCell ref="B12:M12"/>
    <mergeCell ref="B16:M16"/>
    <mergeCell ref="B20:M20"/>
    <mergeCell ref="B23:M23"/>
    <mergeCell ref="B30:N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L3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2" ySplit="4" topLeftCell="C28" activePane="bottomRight" state="frozen"/>
      <selection pane="topLeft" activeCell="A1" activeCellId="0" sqref="A1"/>
      <selection pane="topRight" activeCell="C1" activeCellId="0" sqref="C1"/>
      <selection pane="bottomLeft" activeCell="A28" activeCellId="0" sqref="A28"/>
      <selection pane="bottomRight" activeCell="D21" activeCellId="0" sqref="D21"/>
    </sheetView>
  </sheetViews>
  <sheetFormatPr defaultColWidth="8.6796875" defaultRowHeight="15" customHeight="true"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7" min="3" style="1" width="18"/>
    <col collapsed="false" customWidth="true" hidden="false" outlineLevel="0" max="8" min="8" style="1" width="4"/>
    <col collapsed="false" customWidth="true" hidden="false" outlineLevel="0" max="9" min="9" style="1" width="28"/>
    <col collapsed="false" customWidth="true" hidden="false" outlineLevel="0" max="12" min="10" style="1" width="14"/>
  </cols>
  <sheetData>
    <row r="1" customFormat="false" ht="25.5" hidden="false" customHeight="true" outlineLevel="0" collapsed="false">
      <c r="B1" s="2" t="s">
        <v>137</v>
      </c>
      <c r="C1" s="2"/>
      <c r="D1" s="2"/>
      <c r="E1" s="2"/>
      <c r="F1" s="2"/>
      <c r="G1" s="2"/>
      <c r="H1" s="2"/>
      <c r="I1" s="2"/>
      <c r="J1" s="2"/>
      <c r="K1" s="2"/>
      <c r="L1" s="2"/>
    </row>
    <row r="2" customFormat="false" ht="15" hidden="false" customHeight="true" outlineLevel="0" collapsed="false">
      <c r="B2" s="15" t="s">
        <v>138</v>
      </c>
      <c r="C2" s="15"/>
      <c r="D2" s="15"/>
      <c r="E2" s="15"/>
      <c r="F2" s="15"/>
      <c r="G2" s="15"/>
      <c r="H2" s="15"/>
      <c r="I2" s="15"/>
      <c r="J2" s="15"/>
      <c r="K2" s="15"/>
      <c r="L2" s="15"/>
    </row>
    <row r="3" customFormat="false" ht="18" hidden="false" customHeight="true" outlineLevel="0" collapsed="false">
      <c r="B3" s="17" t="s">
        <v>139</v>
      </c>
      <c r="C3" s="17"/>
      <c r="D3" s="17"/>
      <c r="E3" s="17"/>
      <c r="F3" s="17"/>
      <c r="G3" s="17"/>
      <c r="H3" s="17"/>
      <c r="I3" s="17"/>
      <c r="J3" s="17"/>
      <c r="K3" s="17"/>
    </row>
    <row r="4" customFormat="false" ht="16.5" hidden="false" customHeight="true" outlineLevel="0" collapsed="false">
      <c r="B4" s="64" t="s">
        <v>140</v>
      </c>
      <c r="C4" s="65" t="n">
        <f aca="false">'Income Statement'!L6</f>
        <v>445680</v>
      </c>
      <c r="D4" s="66" t="s">
        <v>141</v>
      </c>
      <c r="E4" s="31"/>
      <c r="F4" s="31"/>
      <c r="G4" s="31"/>
    </row>
    <row r="5" customFormat="false" ht="16.5" hidden="false" customHeight="true" outlineLevel="0" collapsed="false">
      <c r="B5" s="64" t="s">
        <v>142</v>
      </c>
      <c r="C5" s="65" t="n">
        <f aca="false">'Cash Flow'!L14</f>
        <v>65920</v>
      </c>
      <c r="D5" s="66" t="s">
        <v>143</v>
      </c>
      <c r="E5" s="31"/>
      <c r="F5" s="31"/>
      <c r="G5" s="31"/>
    </row>
    <row r="6" customFormat="false" ht="16.5" hidden="false" customHeight="true" outlineLevel="0" collapsed="false">
      <c r="B6" s="64" t="s">
        <v>144</v>
      </c>
      <c r="C6" s="67" t="n">
        <v>0.08</v>
      </c>
      <c r="D6" s="66" t="s">
        <v>145</v>
      </c>
      <c r="E6" s="31"/>
      <c r="F6" s="31"/>
      <c r="G6" s="31"/>
    </row>
    <row r="7" customFormat="false" ht="16.5" hidden="false" customHeight="true" outlineLevel="0" collapsed="false">
      <c r="B7" s="64" t="s">
        <v>146</v>
      </c>
      <c r="C7" s="67" t="n">
        <f aca="false">C5/C4</f>
        <v>0.147908813498474</v>
      </c>
      <c r="D7" s="66" t="s">
        <v>147</v>
      </c>
      <c r="E7" s="31"/>
      <c r="F7" s="31"/>
      <c r="G7" s="31"/>
    </row>
    <row r="8" customFormat="false" ht="16.5" hidden="false" customHeight="true" outlineLevel="0" collapsed="false">
      <c r="B8" s="64" t="s">
        <v>148</v>
      </c>
      <c r="C8" s="67" t="n">
        <v>0.145</v>
      </c>
      <c r="D8" s="66" t="s">
        <v>149</v>
      </c>
      <c r="E8" s="31"/>
      <c r="F8" s="31"/>
      <c r="G8" s="31"/>
    </row>
    <row r="9" customFormat="false" ht="16.5" hidden="false" customHeight="true" outlineLevel="0" collapsed="false">
      <c r="B9" s="64" t="s">
        <v>150</v>
      </c>
      <c r="C9" s="67" t="n">
        <v>0.03</v>
      </c>
      <c r="D9" s="66" t="s">
        <v>151</v>
      </c>
      <c r="E9" s="31"/>
      <c r="F9" s="31"/>
      <c r="G9" s="31"/>
    </row>
    <row r="10" customFormat="false" ht="16.5" hidden="false" customHeight="true" outlineLevel="0" collapsed="false">
      <c r="B10" s="64" t="s">
        <v>152</v>
      </c>
      <c r="C10" s="68" t="n">
        <v>4300.825</v>
      </c>
      <c r="D10" s="66" t="s">
        <v>153</v>
      </c>
      <c r="E10" s="31"/>
      <c r="F10" s="31"/>
      <c r="G10" s="31"/>
    </row>
    <row r="12" customFormat="false" ht="18" hidden="false" customHeight="true" outlineLevel="0" collapsed="false">
      <c r="B12" s="17" t="s">
        <v>154</v>
      </c>
      <c r="C12" s="17"/>
      <c r="D12" s="17"/>
      <c r="E12" s="17"/>
      <c r="F12" s="17"/>
      <c r="G12" s="17"/>
      <c r="H12" s="17"/>
      <c r="I12" s="17"/>
      <c r="J12" s="17"/>
      <c r="K12" s="17"/>
    </row>
    <row r="13" customFormat="false" ht="19.5" hidden="false" customHeight="true" outlineLevel="0" collapsed="false">
      <c r="B13" s="4"/>
      <c r="C13" s="16" t="s">
        <v>155</v>
      </c>
      <c r="D13" s="16" t="s">
        <v>156</v>
      </c>
      <c r="E13" s="16" t="s">
        <v>157</v>
      </c>
      <c r="F13" s="16" t="s">
        <v>158</v>
      </c>
      <c r="G13" s="16" t="s">
        <v>159</v>
      </c>
    </row>
    <row r="14" customFormat="false" ht="16.5" hidden="false" customHeight="true" outlineLevel="0" collapsed="false">
      <c r="B14" s="64" t="s">
        <v>160</v>
      </c>
      <c r="C14" s="19" t="n">
        <f aca="false">$C$4*(1+$C$6)</f>
        <v>481334.4</v>
      </c>
      <c r="D14" s="20" t="n">
        <f aca="false">C14*(1+$C$6)</f>
        <v>519841.152</v>
      </c>
      <c r="E14" s="19" t="n">
        <f aca="false">D14*(1+$C$6)</f>
        <v>561428.44416</v>
      </c>
      <c r="F14" s="20" t="n">
        <f aca="false">E14*(1+$C$6)</f>
        <v>606342.7196928</v>
      </c>
      <c r="G14" s="19" t="n">
        <f aca="false">F14*(1+$C$6)</f>
        <v>654850.137268224</v>
      </c>
      <c r="H14" s="31"/>
      <c r="I14" s="31"/>
      <c r="J14" s="31"/>
      <c r="K14" s="31"/>
      <c r="L14" s="31"/>
    </row>
    <row r="15" customFormat="false" ht="16.5" hidden="false" customHeight="true" outlineLevel="0" collapsed="false">
      <c r="B15" s="64" t="s">
        <v>161</v>
      </c>
      <c r="C15" s="19" t="n">
        <f aca="false">C14*$C$7</f>
        <v>71193.6</v>
      </c>
      <c r="D15" s="20" t="n">
        <f aca="false">D14*$C$7</f>
        <v>76889.088</v>
      </c>
      <c r="E15" s="19" t="n">
        <f aca="false">E14*$C$7</f>
        <v>83040.21504</v>
      </c>
      <c r="F15" s="20" t="n">
        <f aca="false">F14*$C$7</f>
        <v>89683.4322432</v>
      </c>
      <c r="G15" s="19" t="n">
        <f aca="false">G14*$C$7</f>
        <v>96858.106822656</v>
      </c>
      <c r="H15" s="31"/>
      <c r="I15" s="31"/>
      <c r="J15" s="31"/>
      <c r="K15" s="31"/>
      <c r="L15" s="31"/>
    </row>
    <row r="16" customFormat="false" ht="16.5" hidden="false" customHeight="true" outlineLevel="0" collapsed="false">
      <c r="B16" s="8" t="s">
        <v>162</v>
      </c>
      <c r="C16" s="26" t="n">
        <f aca="false">C15/(1+$C$8)^1</f>
        <v>62177.8165938865</v>
      </c>
      <c r="D16" s="26" t="n">
        <f aca="false">D15/(1+$C$8)^2</f>
        <v>58648.0715470719</v>
      </c>
      <c r="E16" s="26" t="n">
        <f aca="false">E15/(1+$C$8)^3</f>
        <v>55318.7050400329</v>
      </c>
      <c r="F16" s="26" t="n">
        <f aca="false">F15/(1+$C$8)^4</f>
        <v>52178.3418718215</v>
      </c>
      <c r="G16" s="26" t="n">
        <f aca="false">G15/(1+$C$8)^5</f>
        <v>49216.2525952552</v>
      </c>
      <c r="H16" s="31"/>
      <c r="I16" s="31"/>
      <c r="J16" s="31"/>
      <c r="K16" s="31"/>
      <c r="L16" s="31"/>
    </row>
    <row r="18" customFormat="false" ht="18" hidden="false" customHeight="true" outlineLevel="0" collapsed="false">
      <c r="B18" s="17" t="s">
        <v>163</v>
      </c>
      <c r="C18" s="17"/>
      <c r="D18" s="17"/>
      <c r="E18" s="17"/>
      <c r="F18" s="17"/>
      <c r="G18" s="17"/>
      <c r="H18" s="17"/>
      <c r="I18" s="17"/>
      <c r="J18" s="17"/>
      <c r="K18" s="17"/>
    </row>
    <row r="19" customFormat="false" ht="18" hidden="false" customHeight="true" outlineLevel="0" collapsed="false">
      <c r="B19" s="6" t="s">
        <v>164</v>
      </c>
      <c r="C19" s="69" t="n">
        <f aca="false">SUM(C16:G16)</f>
        <v>277539.187648068</v>
      </c>
      <c r="D19" s="31"/>
      <c r="E19" s="31"/>
      <c r="F19" s="31"/>
      <c r="G19" s="31"/>
    </row>
    <row r="20" customFormat="false" ht="18" hidden="false" customHeight="true" outlineLevel="0" collapsed="false">
      <c r="B20" s="6" t="s">
        <v>165</v>
      </c>
      <c r="C20" s="69" t="n">
        <f aca="false">G15*(1+$C$9)/($C$8-$C$9)</f>
        <v>867511.739368137</v>
      </c>
      <c r="D20" s="31"/>
      <c r="E20" s="31"/>
      <c r="F20" s="31"/>
      <c r="G20" s="31"/>
    </row>
    <row r="21" customFormat="false" ht="18" hidden="false" customHeight="true" outlineLevel="0" collapsed="false">
      <c r="B21" s="6" t="s">
        <v>166</v>
      </c>
      <c r="C21" s="69" t="n">
        <f aca="false">C20/(1+$C$8)^5</f>
        <v>440806.436287938</v>
      </c>
      <c r="D21" s="31"/>
      <c r="E21" s="31"/>
      <c r="F21" s="31"/>
      <c r="G21" s="31"/>
    </row>
    <row r="22" customFormat="false" ht="18" hidden="false" customHeight="true" outlineLevel="0" collapsed="false">
      <c r="B22" s="6" t="s">
        <v>167</v>
      </c>
      <c r="C22" s="69" t="n">
        <f aca="false">C19+C21</f>
        <v>718345.623936006</v>
      </c>
      <c r="D22" s="31"/>
      <c r="E22" s="31"/>
      <c r="F22" s="31"/>
      <c r="G22" s="31"/>
    </row>
    <row r="23" customFormat="false" ht="18" hidden="false" customHeight="true" outlineLevel="0" collapsed="false">
      <c r="B23" s="6" t="s">
        <v>168</v>
      </c>
      <c r="C23" s="70" t="n">
        <f aca="false">(C22-'Balance Sheet'!L19+'Balance Sheet'!L9)/C10</f>
        <v>171.768352336123</v>
      </c>
      <c r="D23" s="31"/>
      <c r="E23" s="31"/>
      <c r="F23" s="31"/>
      <c r="G23" s="31"/>
    </row>
    <row r="24" customFormat="false" ht="18" hidden="false" customHeight="true" outlineLevel="0" collapsed="false">
      <c r="B24" s="6" t="s">
        <v>169</v>
      </c>
      <c r="C24" s="70" t="n">
        <v>274.13</v>
      </c>
      <c r="D24" s="31"/>
      <c r="E24" s="31"/>
      <c r="F24" s="31"/>
      <c r="G24" s="31"/>
    </row>
    <row r="25" customFormat="false" ht="18" hidden="false" customHeight="true" outlineLevel="0" collapsed="false">
      <c r="B25" s="6" t="s">
        <v>170</v>
      </c>
      <c r="C25" s="71" t="n">
        <f aca="false">C23/C24-1</f>
        <v>-0.3734054925177</v>
      </c>
      <c r="D25" s="31"/>
      <c r="E25" s="31"/>
      <c r="F25" s="31"/>
      <c r="G25" s="31"/>
    </row>
    <row r="28" customFormat="false" ht="18" hidden="false" customHeight="true" outlineLevel="0" collapsed="false">
      <c r="B28" s="17" t="s">
        <v>171</v>
      </c>
      <c r="C28" s="17"/>
      <c r="D28" s="17"/>
      <c r="E28" s="17"/>
      <c r="F28" s="17"/>
      <c r="G28" s="17"/>
      <c r="H28" s="17"/>
      <c r="I28" s="17"/>
      <c r="J28" s="17"/>
      <c r="K28" s="17"/>
    </row>
    <row r="29" customFormat="false" ht="18" hidden="false" customHeight="true" outlineLevel="0" collapsed="false">
      <c r="B29" s="5" t="s">
        <v>172</v>
      </c>
      <c r="C29" s="72" t="n">
        <v>0.05</v>
      </c>
      <c r="D29" s="72" t="n">
        <v>0.07</v>
      </c>
      <c r="E29" s="72" t="n">
        <v>0.08</v>
      </c>
      <c r="F29" s="72" t="n">
        <v>0.1</v>
      </c>
      <c r="G29" s="72" t="n">
        <v>0.12</v>
      </c>
    </row>
    <row r="30" customFormat="false" ht="16.5" hidden="false" customHeight="true" outlineLevel="0" collapsed="false">
      <c r="B30" s="73" t="n">
        <v>0.12</v>
      </c>
      <c r="C30" s="74" t="n">
        <f aca="false">(($C$4*(1+C$29)^1*$C$7)/(1+$B30)^1+($C$4*(1+C$29)^2*$C$7)/(1+$B30)^2+($C$4*(1+C$29)^3*$C$7)/(1+$B30)^3+($C$4*(1+C$29)^4*$C$7)/(1+$B30)^4+($C$4*(1+C$29)^5*$C$7)/(1+$B30)^5+($C$4*(1+C$29)^5*$C$7*(1+$C$9)/($B30-$C$9))/(1+$B30)^5-'Balance Sheet'!L19+'Balance Sheet'!L9)/$C$10</f>
        <v>195.186093474798</v>
      </c>
      <c r="D30" s="74" t="n">
        <f aca="false">(($C$4*(1+D$29)^1*$C$7)/(1+$B30)^1+($C$4*(1+D$29)^2*$C$7)/(1+$B30)^2+($C$4*(1+D$29)^3*$C$7)/(1+$B30)^3+($C$4*(1+D$29)^4*$C$7)/(1+$B30)^4+($C$4*(1+D$29)^5*$C$7)/(1+$B30)^5+($C$4*(1+D$29)^5*$C$7*(1+$C$9)/($B30-$C$9))/(1+$B30)^5-'Balance Sheet'!L19+'Balance Sheet'!L9)/$C$10</f>
        <v>211.307896670354</v>
      </c>
      <c r="E30" s="74" t="n">
        <f aca="false">(($C$4*(1+E$29)^1*$C$7)/(1+$B30)^1+($C$4*(1+E$29)^2*$C$7)/(1+$B30)^2+($C$4*(1+E$29)^3*$C$7)/(1+$B30)^3+($C$4*(1+E$29)^4*$C$7)/(1+$B30)^4+($C$4*(1+E$29)^5*$C$7)/(1+$B30)^5+($C$4*(1+E$29)^5*$C$7*(1+$C$9)/($B30-$C$9))/(1+$B30)^5-'Balance Sheet'!L19+'Balance Sheet'!L9)/$C$10</f>
        <v>219.796983634715</v>
      </c>
      <c r="F30" s="74" t="n">
        <f aca="false">(($C$4*(1+F$29)^1*$C$7)/(1+$B30)^1+($C$4*(1+F$29)^2*$C$7)/(1+$B30)^2+($C$4*(1+F$29)^3*$C$7)/(1+$B30)^3+($C$4*(1+F$29)^4*$C$7)/(1+$B30)^4+($C$4*(1+F$29)^5*$C$7)/(1+$B30)^5+($C$4*(1+F$29)^5*$C$7*(1+$C$9)/($B30-$C$9))/(1+$B30)^5-'Balance Sheet'!L19+'Balance Sheet'!L9)/$C$10</f>
        <v>237.670636518365</v>
      </c>
      <c r="G30" s="74" t="n">
        <f aca="false">(($C$4*(1+G$29)^1*$C$7)/(1+$B30)^1+($C$4*(1+G$29)^2*$C$7)/(1+$B30)^2+($C$4*(1+G$29)^3*$C$7)/(1+$B30)^3+($C$4*(1+G$29)^4*$C$7)/(1+$B30)^4+($C$4*(1+G$29)^5*$C$7)/(1+$B30)^5+($C$4*(1+G$29)^5*$C$7*(1+$C$9)/($B30-$C$9))/(1+$B30)^5-'Balance Sheet'!L19+'Balance Sheet'!L9)/$C$10</f>
        <v>256.792075422222</v>
      </c>
    </row>
    <row r="31" customFormat="false" ht="16.5" hidden="false" customHeight="true" outlineLevel="0" collapsed="false">
      <c r="B31" s="73" t="n">
        <v>0.13</v>
      </c>
      <c r="C31" s="74" t="n">
        <f aca="false">(($C$4*(1+C$29)^1*$C$7)/(1+$B31)^1+($C$4*(1+C$29)^2*$C$7)/(1+$B31)^2+($C$4*(1+C$29)^3*$C$7)/(1+$B31)^3+($C$4*(1+C$29)^4*$C$7)/(1+$B31)^4+($C$4*(1+C$29)^5*$C$7)/(1+$B31)^5+($C$4*(1+C$29)^5*$C$7*(1+$C$9)/($B31-$C$9))/(1+$B31)^5-'Balance Sheet'!L19+'Balance Sheet'!L9)/$C$10</f>
        <v>175.919721240633</v>
      </c>
      <c r="D31" s="74" t="n">
        <f aca="false">(($C$4*(1+D$29)^1*$C$7)/(1+$B31)^1+($C$4*(1+D$29)^2*$C$7)/(1+$B31)^2+($C$4*(1+D$29)^3*$C$7)/(1+$B31)^3+($C$4*(1+D$29)^4*$C$7)/(1+$B31)^4+($C$4*(1+D$29)^5*$C$7)/(1+$B31)^5+($C$4*(1+D$29)^5*$C$7*(1+$C$9)/($B31-$C$9))/(1+$B31)^5-'Balance Sheet'!L19+'Balance Sheet'!L9)/$C$10</f>
        <v>190.181922248139</v>
      </c>
      <c r="E31" s="74" t="n">
        <f aca="false">(($C$4*(1+E$29)^1*$C$7)/(1+$B31)^1+($C$4*(1+E$29)^2*$C$7)/(1+$B31)^2+($C$4*(1+E$29)^3*$C$7)/(1+$B31)^3+($C$4*(1+E$29)^4*$C$7)/(1+$B31)^4+($C$4*(1+E$29)^5*$C$7)/(1+$B31)^5+($C$4*(1+E$29)^5*$C$7*(1+$C$9)/($B31-$C$9))/(1+$B31)^5-'Balance Sheet'!L19+'Balance Sheet'!L9)/$C$10</f>
        <v>197.688371784705</v>
      </c>
      <c r="F31" s="74" t="n">
        <f aca="false">(($C$4*(1+F$29)^1*$C$7)/(1+$B31)^1+($C$4*(1+F$29)^2*$C$7)/(1+$B31)^2+($C$4*(1+F$29)^3*$C$7)/(1+$B31)^3+($C$4*(1+F$29)^4*$C$7)/(1+$B31)^4+($C$4*(1+F$29)^5*$C$7)/(1+$B31)^5+($C$4*(1+F$29)^5*$C$7*(1+$C$9)/($B31-$C$9))/(1+$B31)^5-'Balance Sheet'!L19+'Balance Sheet'!L9)/$C$10</f>
        <v>213.48609251141</v>
      </c>
      <c r="G31" s="74" t="n">
        <f aca="false">(($C$4*(1+G$29)^1*$C$7)/(1+$B31)^1+($C$4*(1+G$29)^2*$C$7)/(1+$B31)^2+($C$4*(1+G$29)^3*$C$7)/(1+$B31)^3+($C$4*(1+G$29)^4*$C$7)/(1+$B31)^4+($C$4*(1+G$29)^5*$C$7)/(1+$B31)^5+($C$4*(1+G$29)^5*$C$7*(1+$C$9)/($B31-$C$9))/(1+$B31)^5-'Balance Sheet'!L19+'Balance Sheet'!L9)/$C$10</f>
        <v>230.377193170421</v>
      </c>
    </row>
    <row r="32" customFormat="false" ht="16.5" hidden="false" customHeight="true" outlineLevel="0" collapsed="false">
      <c r="B32" s="73" t="n">
        <v>0.145</v>
      </c>
      <c r="C32" s="74" t="n">
        <f aca="false">(($C$4*(1+C$29)^1*$C$7)/(1+$B32)^1+($C$4*(1+C$29)^2*$C$7)/(1+$B32)^2+($C$4*(1+C$29)^3*$C$7)/(1+$B32)^3+($C$4*(1+C$29)^4*$C$7)/(1+$B32)^4+($C$4*(1+C$29)^5*$C$7)/(1+$B32)^5+($C$4*(1+C$29)^5*$C$7*(1+$C$9)/($B32-$C$9))/(1+$B32)^5-'Balance Sheet'!L19+'Balance Sheet'!L9)/$C$10</f>
        <v>153.314945113204</v>
      </c>
      <c r="D32" s="74" t="n">
        <f aca="false">(($C$4*(1+D$29)^1*$C$7)/(1+$B32)^1+($C$4*(1+D$29)^2*$C$7)/(1+$B32)^2+($C$4*(1+D$29)^3*$C$7)/(1+$B32)^3+($C$4*(1+D$29)^4*$C$7)/(1+$B32)^4+($C$4*(1+D$29)^5*$C$7)/(1+$B32)^5+($C$4*(1+D$29)^5*$C$7*(1+$C$9)/($B32-$C$9))/(1+$B32)^5-'Balance Sheet'!L19+'Balance Sheet'!L9)/$C$10</f>
        <v>165.407930273424</v>
      </c>
      <c r="E32" s="74" t="n">
        <f aca="false">(($C$4*(1+E$29)^1*$C$7)/(1+$B32)^1+($C$4*(1+E$29)^2*$C$7)/(1+$B32)^2+($C$4*(1+E$29)^3*$C$7)/(1+$B32)^3+($C$4*(1+E$29)^4*$C$7)/(1+$B32)^4+($C$4*(1+E$29)^5*$C$7)/(1+$B32)^5+($C$4*(1+E$29)^5*$C$7*(1+$C$9)/($B32-$C$9))/(1+$B32)^5-'Balance Sheet'!L19+'Balance Sheet'!L9)/$C$10</f>
        <v>171.768352336123</v>
      </c>
      <c r="F32" s="74" t="n">
        <f aca="false">(($C$4*(1+F$29)^1*$C$7)/(1+$B32)^1+($C$4*(1+F$29)^2*$C$7)/(1+$B32)^2+($C$4*(1+F$29)^3*$C$7)/(1+$B32)^3+($C$4*(1+F$29)^4*$C$7)/(1+$B32)^4+($C$4*(1+F$29)^5*$C$7)/(1+$B32)^5+($C$4*(1+F$29)^5*$C$7*(1+$C$9)/($B32-$C$9))/(1+$B32)^5-'Balance Sheet'!L19+'Balance Sheet'!L9)/$C$10</f>
        <v>185.145396990695</v>
      </c>
      <c r="G32" s="74" t="n">
        <f aca="false">(($C$4*(1+G$29)^1*$C$7)/(1+$B32)^1+($C$4*(1+G$29)^2*$C$7)/(1+$B32)^2+($C$4*(1+G$29)^3*$C$7)/(1+$B32)^3+($C$4*(1+G$29)^4*$C$7)/(1+$B32)^4+($C$4*(1+G$29)^5*$C$7)/(1+$B32)^5+($C$4*(1+G$29)^5*$C$7*(1+$C$9)/($B32-$C$9))/(1+$B32)^5-'Balance Sheet'!L19+'Balance Sheet'!L9)/$C$10</f>
        <v>199.436366205989</v>
      </c>
    </row>
    <row r="33" customFormat="false" ht="16.5" hidden="false" customHeight="true" outlineLevel="0" collapsed="false">
      <c r="B33" s="73" t="n">
        <v>0.16</v>
      </c>
      <c r="C33" s="74" t="n">
        <f aca="false">(($C$4*(1+C$29)^1*$C$7)/(1+$B33)^1+($C$4*(1+C$29)^2*$C$7)/(1+$B33)^2+($C$4*(1+C$29)^3*$C$7)/(1+$B33)^3+($C$4*(1+C$29)^4*$C$7)/(1+$B33)^4+($C$4*(1+C$29)^5*$C$7)/(1+$B33)^5+($C$4*(1+C$29)^5*$C$7*(1+$C$9)/($B33-$C$9))/(1+$B33)^5-'Balance Sheet'!L19+'Balance Sheet'!L9)/$C$10</f>
        <v>135.938914605551</v>
      </c>
      <c r="D33" s="74" t="n">
        <f aca="false">(($C$4*(1+D$29)^1*$C$7)/(1+$B33)^1+($C$4*(1+D$29)^2*$C$7)/(1+$B33)^2+($C$4*(1+D$29)^3*$C$7)/(1+$B33)^3+($C$4*(1+D$29)^4*$C$7)/(1+$B33)^4+($C$4*(1+D$29)^5*$C$7)/(1+$B33)^5+($C$4*(1+D$29)^5*$C$7*(1+$C$9)/($B33-$C$9))/(1+$B33)^5-'Balance Sheet'!L19+'Balance Sheet'!L9)/$C$10</f>
        <v>146.377050775358</v>
      </c>
      <c r="E33" s="74" t="n">
        <f aca="false">(($C$4*(1+E$29)^1*$C$7)/(1+$B33)^1+($C$4*(1+E$29)^2*$C$7)/(1+$B33)^2+($C$4*(1+E$29)^3*$C$7)/(1+$B33)^3+($C$4*(1+E$29)^4*$C$7)/(1+$B33)^4+($C$4*(1+E$29)^5*$C$7)/(1+$B33)^5+($C$4*(1+E$29)^5*$C$7*(1+$C$9)/($B33-$C$9))/(1+$B33)^5-'Balance Sheet'!L19+'Balance Sheet'!L9)/$C$10</f>
        <v>151.863405728833</v>
      </c>
      <c r="F33" s="74" t="n">
        <f aca="false">(($C$4*(1+F$29)^1*$C$7)/(1+$B33)^1+($C$4*(1+F$29)^2*$C$7)/(1+$B33)^2+($C$4*(1+F$29)^3*$C$7)/(1+$B33)^3+($C$4*(1+F$29)^4*$C$7)/(1+$B33)^4+($C$4*(1+F$29)^5*$C$7)/(1+$B33)^5+($C$4*(1+F$29)^5*$C$7*(1+$C$9)/($B33-$C$9))/(1+$B33)^5-'Balance Sheet'!L19+'Balance Sheet'!L9)/$C$10</f>
        <v>163.394652258653</v>
      </c>
      <c r="G33" s="74" t="n">
        <f aca="false">(($C$4*(1+G$29)^1*$C$7)/(1+$B33)^1+($C$4*(1+G$29)^2*$C$7)/(1+$B33)^2+($C$4*(1+G$29)^3*$C$7)/(1+$B33)^3+($C$4*(1+G$29)^4*$C$7)/(1+$B33)^4+($C$4*(1+G$29)^5*$C$7)/(1+$B33)^5+($C$4*(1+G$29)^5*$C$7*(1+$C$9)/($B33-$C$9))/(1+$B33)^5-'Balance Sheet'!L19+'Balance Sheet'!L9)/$C$10</f>
        <v>175.70357670818</v>
      </c>
    </row>
    <row r="34" customFormat="false" ht="16.5" hidden="false" customHeight="true" outlineLevel="0" collapsed="false">
      <c r="B34" s="73" t="n">
        <v>0.17</v>
      </c>
      <c r="C34" s="74" t="n">
        <f aca="false">(($C$4*(1+C$29)^1*$C$7)/(1+$B34)^1+($C$4*(1+C$29)^2*$C$7)/(1+$B34)^2+($C$4*(1+C$29)^3*$C$7)/(1+$B34)^3+($C$4*(1+C$29)^4*$C$7)/(1+$B34)^4+($C$4*(1+C$29)^5*$C$7)/(1+$B34)^5+($C$4*(1+C$29)^5*$C$7*(1+$C$9)/($B34-$C$9))/(1+$B34)^5-'Balance Sheet'!L19+'Balance Sheet'!L9)/$C$10</f>
        <v>126.429424717194</v>
      </c>
      <c r="D34" s="74" t="n">
        <f aca="false">(($C$4*(1+D$29)^1*$C$7)/(1+$B34)^1+($C$4*(1+D$29)^2*$C$7)/(1+$B34)^2+($C$4*(1+D$29)^3*$C$7)/(1+$B34)^3+($C$4*(1+D$29)^4*$C$7)/(1+$B34)^4+($C$4*(1+D$29)^5*$C$7)/(1+$B34)^5+($C$4*(1+D$29)^5*$C$7*(1+$C$9)/($B34-$C$9))/(1+$B34)^5-'Balance Sheet'!L19+'Balance Sheet'!L9)/$C$10</f>
        <v>135.968025421847</v>
      </c>
      <c r="E34" s="74" t="n">
        <f aca="false">(($C$4*(1+E$29)^1*$C$7)/(1+$B34)^1+($C$4*(1+E$29)^2*$C$7)/(1+$B34)^2+($C$4*(1+E$29)^3*$C$7)/(1+$B34)^3+($C$4*(1+E$29)^4*$C$7)/(1+$B34)^4+($C$4*(1+E$29)^5*$C$7)/(1+$B34)^5+($C$4*(1+E$29)^5*$C$7*(1+$C$9)/($B34-$C$9))/(1+$B34)^5-'Balance Sheet'!L19+'Balance Sheet'!L9)/$C$10</f>
        <v>140.979362322712</v>
      </c>
      <c r="F34" s="74" t="n">
        <f aca="false">(($C$4*(1+F$29)^1*$C$7)/(1+$B34)^1+($C$4*(1+F$29)^2*$C$7)/(1+$B34)^2+($C$4*(1+F$29)^3*$C$7)/(1+$B34)^3+($C$4*(1+F$29)^4*$C$7)/(1+$B34)^4+($C$4*(1+F$29)^5*$C$7)/(1+$B34)^5+($C$4*(1+F$29)^5*$C$7*(1+$C$9)/($B34-$C$9))/(1+$B34)^5-'Balance Sheet'!L19+'Balance Sheet'!L9)/$C$10</f>
        <v>151.507707596392</v>
      </c>
      <c r="G34" s="74" t="n">
        <f aca="false">(($C$4*(1+G$29)^1*$C$7)/(1+$B34)^1+($C$4*(1+G$29)^2*$C$7)/(1+$B34)^2+($C$4*(1+G$29)^3*$C$7)/(1+$B34)^3+($C$4*(1+G$29)^4*$C$7)/(1+$B34)^4+($C$4*(1+G$29)^5*$C$7)/(1+$B34)^5+($C$4*(1+G$29)^5*$C$7*(1+$C$9)/($B34-$C$9))/(1+$B34)^5-'Balance Sheet'!L19+'Balance Sheet'!L9)/$C$10</f>
        <v>162.739988882904</v>
      </c>
    </row>
  </sheetData>
  <mergeCells count="6">
    <mergeCell ref="B1:L1"/>
    <mergeCell ref="B2:L2"/>
    <mergeCell ref="B3:K3"/>
    <mergeCell ref="B12:K12"/>
    <mergeCell ref="B18:K18"/>
    <mergeCell ref="B28:K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11"/>
  <sheetViews>
    <sheetView showFormulas="false" showGridLines="false" showRowColHeaders="true" showZeros="true" rightToLeft="false" tabSelected="false" showOutlineSymbols="true" defaultGridColor="true" view="normal" topLeftCell="A7" colorId="64" zoomScale="100" zoomScaleNormal="100" zoomScalePageLayoutView="100" workbookViewId="0">
      <selection pane="topLeft" activeCell="F5" activeCellId="0" sqref="F5"/>
    </sheetView>
  </sheetViews>
  <sheetFormatPr defaultColWidth="8.6796875" defaultRowHeight="15" customHeight="true" zeroHeight="false" outlineLevelRow="0" outlineLevelCol="0"/>
  <cols>
    <col collapsed="false" customWidth="true" hidden="false" outlineLevel="0" max="1" min="1" style="1" width="4"/>
    <col collapsed="false" customWidth="true" hidden="false" outlineLevel="0" max="2" min="2" style="1" width="36"/>
    <col collapsed="false" customWidth="true" hidden="false" outlineLevel="0" max="3" min="3" style="1" width="58"/>
  </cols>
  <sheetData>
    <row r="1" customFormat="false" ht="25.5" hidden="false" customHeight="true" outlineLevel="0" collapsed="false">
      <c r="B1" s="2" t="s">
        <v>173</v>
      </c>
      <c r="C1" s="2"/>
    </row>
    <row r="3" customFormat="false" ht="15" hidden="false" customHeight="true" outlineLevel="0" collapsed="false">
      <c r="B3" s="4" t="s">
        <v>174</v>
      </c>
      <c r="C3" s="4" t="s">
        <v>175</v>
      </c>
    </row>
    <row r="4" customFormat="false" ht="27.75" hidden="false" customHeight="true" outlineLevel="0" collapsed="false">
      <c r="B4" s="8" t="s">
        <v>176</v>
      </c>
      <c r="C4" s="9" t="s">
        <v>177</v>
      </c>
    </row>
    <row r="5" customFormat="false" ht="27.75" hidden="false" customHeight="true" outlineLevel="0" collapsed="false">
      <c r="B5" s="6" t="s">
        <v>178</v>
      </c>
      <c r="C5" s="7" t="s">
        <v>179</v>
      </c>
    </row>
    <row r="6" customFormat="false" ht="27.75" hidden="false" customHeight="true" outlineLevel="0" collapsed="false">
      <c r="B6" s="8" t="s">
        <v>180</v>
      </c>
      <c r="C6" s="9" t="s">
        <v>181</v>
      </c>
    </row>
    <row r="7" customFormat="false" ht="27.75" hidden="false" customHeight="true" outlineLevel="0" collapsed="false">
      <c r="B7" s="6" t="s">
        <v>182</v>
      </c>
      <c r="C7" s="7" t="s">
        <v>183</v>
      </c>
    </row>
    <row r="8" customFormat="false" ht="27.75" hidden="false" customHeight="true" outlineLevel="0" collapsed="false">
      <c r="B8" s="8" t="s">
        <v>33</v>
      </c>
      <c r="C8" s="9" t="s">
        <v>184</v>
      </c>
    </row>
    <row r="10" customFormat="false" ht="18" hidden="false" customHeight="true" outlineLevel="0" collapsed="false">
      <c r="B10" s="17" t="s">
        <v>185</v>
      </c>
      <c r="C10" s="17"/>
    </row>
    <row r="11" customFormat="false" ht="99.75" hidden="false" customHeight="true" outlineLevel="0" collapsed="false">
      <c r="B11" s="75" t="s">
        <v>186</v>
      </c>
      <c r="C11" s="75"/>
    </row>
  </sheetData>
  <mergeCells count="3">
    <mergeCell ref="B1:C1"/>
    <mergeCell ref="B10:C10"/>
    <mergeCell ref="B11:C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2026-03-27T10:23:38Z</dcterms:created>
  <dc:creator>openpyxl</dc:creator>
  <dc:description/>
  <dc:language>en-US</dc:language>
  <cp:lastModifiedBy>Ajwa Hashmi</cp:lastModifiedBy>
  <dcterms:modified xsi:type="dcterms:W3CDTF">2026-08-14T15:21:02Z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